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71B673D-A8C1-4C78-9F50-730DA25B029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P 1" sheetId="11" r:id="rId1"/>
    <sheet name="Filipino 1" sheetId="9" r:id="rId2"/>
    <sheet name="Math 1" sheetId="1" r:id="rId3"/>
    <sheet name=" ESP 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1" l="1"/>
  <c r="F42" i="11" s="1"/>
  <c r="E41" i="11"/>
  <c r="E66" i="11"/>
  <c r="F66" i="11" s="1"/>
  <c r="D66" i="11"/>
  <c r="E65" i="11"/>
  <c r="F65" i="11" s="1"/>
  <c r="D65" i="11"/>
  <c r="E64" i="11"/>
  <c r="F64" i="11" s="1"/>
  <c r="I64" i="11" s="1"/>
  <c r="D64" i="11"/>
  <c r="E63" i="11"/>
  <c r="F63" i="11" s="1"/>
  <c r="D63" i="11"/>
  <c r="E62" i="11"/>
  <c r="F62" i="11" s="1"/>
  <c r="D62" i="11"/>
  <c r="E61" i="11"/>
  <c r="F61" i="11" s="1"/>
  <c r="D61" i="11"/>
  <c r="E60" i="11"/>
  <c r="F60" i="11" s="1"/>
  <c r="I60" i="11" s="1"/>
  <c r="D60" i="11"/>
  <c r="E59" i="11"/>
  <c r="F59" i="11" s="1"/>
  <c r="D59" i="11"/>
  <c r="E58" i="11"/>
  <c r="F58" i="11" s="1"/>
  <c r="D58" i="11"/>
  <c r="E57" i="11"/>
  <c r="F57" i="11" s="1"/>
  <c r="D57" i="11"/>
  <c r="E56" i="11"/>
  <c r="F56" i="11" s="1"/>
  <c r="I56" i="11" s="1"/>
  <c r="D56" i="11"/>
  <c r="E55" i="11"/>
  <c r="F55" i="11" s="1"/>
  <c r="D55" i="11"/>
  <c r="E54" i="11"/>
  <c r="F54" i="11" s="1"/>
  <c r="D54" i="11"/>
  <c r="E53" i="11"/>
  <c r="F53" i="11" s="1"/>
  <c r="D53" i="11"/>
  <c r="E52" i="11"/>
  <c r="F52" i="11" s="1"/>
  <c r="I52" i="11" s="1"/>
  <c r="D52" i="11"/>
  <c r="E51" i="11"/>
  <c r="F51" i="11" s="1"/>
  <c r="D51" i="11"/>
  <c r="E50" i="11"/>
  <c r="F50" i="11" s="1"/>
  <c r="D50" i="11"/>
  <c r="E49" i="11"/>
  <c r="F49" i="11" s="1"/>
  <c r="D49" i="11"/>
  <c r="E48" i="11"/>
  <c r="F48" i="11" s="1"/>
  <c r="I48" i="11" s="1"/>
  <c r="D48" i="11"/>
  <c r="E47" i="11"/>
  <c r="F47" i="11" s="1"/>
  <c r="D47" i="11"/>
  <c r="E46" i="11"/>
  <c r="F46" i="11" s="1"/>
  <c r="D46" i="11"/>
  <c r="E45" i="11"/>
  <c r="F45" i="11" s="1"/>
  <c r="D45" i="11"/>
  <c r="E44" i="11"/>
  <c r="F44" i="11" s="1"/>
  <c r="I44" i="11" s="1"/>
  <c r="D44" i="11"/>
  <c r="E43" i="11"/>
  <c r="F43" i="11" s="1"/>
  <c r="D43" i="11"/>
  <c r="D42" i="11"/>
  <c r="F41" i="11"/>
  <c r="D41" i="11"/>
  <c r="E40" i="11"/>
  <c r="F40" i="11" s="1"/>
  <c r="I40" i="11" s="1"/>
  <c r="D40" i="11"/>
  <c r="E39" i="11"/>
  <c r="F39" i="11" s="1"/>
  <c r="D39" i="11"/>
  <c r="E38" i="11"/>
  <c r="F38" i="11" s="1"/>
  <c r="D38" i="11"/>
  <c r="E37" i="11"/>
  <c r="F37" i="11" s="1"/>
  <c r="D37" i="11"/>
  <c r="E36" i="11"/>
  <c r="F36" i="11" s="1"/>
  <c r="I36" i="11" s="1"/>
  <c r="D36" i="11"/>
  <c r="E35" i="11"/>
  <c r="F35" i="11" s="1"/>
  <c r="D35" i="11"/>
  <c r="E34" i="11"/>
  <c r="F34" i="11" s="1"/>
  <c r="D34" i="11"/>
  <c r="E33" i="11"/>
  <c r="F33" i="11" s="1"/>
  <c r="D33" i="11"/>
  <c r="E32" i="11"/>
  <c r="F32" i="11" s="1"/>
  <c r="D32" i="11"/>
  <c r="E31" i="11"/>
  <c r="F31" i="11" s="1"/>
  <c r="D31" i="11"/>
  <c r="E30" i="11"/>
  <c r="F30" i="11" s="1"/>
  <c r="D30" i="11"/>
  <c r="E29" i="11"/>
  <c r="F29" i="11" s="1"/>
  <c r="D29" i="11"/>
  <c r="E28" i="11"/>
  <c r="F28" i="11" s="1"/>
  <c r="D28" i="11"/>
  <c r="E27" i="11"/>
  <c r="F27" i="11" s="1"/>
  <c r="D27" i="11"/>
  <c r="E26" i="11"/>
  <c r="F26" i="11" s="1"/>
  <c r="D26" i="11"/>
  <c r="E25" i="11"/>
  <c r="F25" i="11" s="1"/>
  <c r="D25" i="11"/>
  <c r="E24" i="11"/>
  <c r="F24" i="11" s="1"/>
  <c r="D24" i="11"/>
  <c r="E23" i="11"/>
  <c r="F23" i="11" s="1"/>
  <c r="D23" i="11"/>
  <c r="E22" i="11"/>
  <c r="F22" i="11" s="1"/>
  <c r="D22" i="11"/>
  <c r="E21" i="11"/>
  <c r="F21" i="11" s="1"/>
  <c r="D21" i="11"/>
  <c r="E20" i="11"/>
  <c r="F20" i="11" s="1"/>
  <c r="D20" i="11"/>
  <c r="E19" i="11"/>
  <c r="F19" i="11" s="1"/>
  <c r="D19" i="11"/>
  <c r="E18" i="11"/>
  <c r="F18" i="11" s="1"/>
  <c r="D18" i="11"/>
  <c r="E17" i="11"/>
  <c r="F17" i="11" s="1"/>
  <c r="D17" i="11"/>
  <c r="E66" i="9"/>
  <c r="F66" i="9" s="1"/>
  <c r="D66" i="9"/>
  <c r="E65" i="9"/>
  <c r="F65" i="9" s="1"/>
  <c r="D65" i="9"/>
  <c r="E64" i="9"/>
  <c r="F64" i="9" s="1"/>
  <c r="H64" i="9" s="1"/>
  <c r="D64" i="9"/>
  <c r="E63" i="9"/>
  <c r="F63" i="9" s="1"/>
  <c r="D63" i="9"/>
  <c r="E62" i="9"/>
  <c r="F62" i="9" s="1"/>
  <c r="D62" i="9"/>
  <c r="E61" i="9"/>
  <c r="F61" i="9" s="1"/>
  <c r="D61" i="9"/>
  <c r="E60" i="9"/>
  <c r="F60" i="9" s="1"/>
  <c r="H60" i="9" s="1"/>
  <c r="D60" i="9"/>
  <c r="E59" i="9"/>
  <c r="F59" i="9" s="1"/>
  <c r="D59" i="9"/>
  <c r="E58" i="9"/>
  <c r="F58" i="9" s="1"/>
  <c r="D58" i="9"/>
  <c r="E57" i="9"/>
  <c r="F57" i="9" s="1"/>
  <c r="D57" i="9"/>
  <c r="E56" i="9"/>
  <c r="F56" i="9" s="1"/>
  <c r="H56" i="9" s="1"/>
  <c r="D56" i="9"/>
  <c r="E55" i="9"/>
  <c r="F55" i="9" s="1"/>
  <c r="D55" i="9"/>
  <c r="E54" i="9"/>
  <c r="F54" i="9" s="1"/>
  <c r="D54" i="9"/>
  <c r="E53" i="9"/>
  <c r="F53" i="9" s="1"/>
  <c r="D53" i="9"/>
  <c r="E52" i="9"/>
  <c r="F52" i="9" s="1"/>
  <c r="H52" i="9" s="1"/>
  <c r="D52" i="9"/>
  <c r="E51" i="9"/>
  <c r="F51" i="9" s="1"/>
  <c r="D51" i="9"/>
  <c r="E50" i="9"/>
  <c r="F50" i="9" s="1"/>
  <c r="D50" i="9"/>
  <c r="E49" i="9"/>
  <c r="F49" i="9" s="1"/>
  <c r="D49" i="9"/>
  <c r="E48" i="9"/>
  <c r="F48" i="9" s="1"/>
  <c r="H48" i="9" s="1"/>
  <c r="D48" i="9"/>
  <c r="E47" i="9"/>
  <c r="F47" i="9" s="1"/>
  <c r="D47" i="9"/>
  <c r="E46" i="9"/>
  <c r="F46" i="9" s="1"/>
  <c r="D46" i="9"/>
  <c r="E45" i="9"/>
  <c r="F45" i="9" s="1"/>
  <c r="D45" i="9"/>
  <c r="E44" i="9"/>
  <c r="F44" i="9" s="1"/>
  <c r="H44" i="9" s="1"/>
  <c r="D44" i="9"/>
  <c r="E43" i="9"/>
  <c r="F43" i="9" s="1"/>
  <c r="D43" i="9"/>
  <c r="E42" i="9"/>
  <c r="F42" i="9" s="1"/>
  <c r="D42" i="9"/>
  <c r="E41" i="9"/>
  <c r="F41" i="9" s="1"/>
  <c r="D41" i="9"/>
  <c r="E40" i="9"/>
  <c r="F40" i="9" s="1"/>
  <c r="H40" i="9" s="1"/>
  <c r="D40" i="9"/>
  <c r="E39" i="9"/>
  <c r="F39" i="9" s="1"/>
  <c r="D39" i="9"/>
  <c r="E38" i="9"/>
  <c r="F38" i="9" s="1"/>
  <c r="D38" i="9"/>
  <c r="E37" i="9"/>
  <c r="F37" i="9" s="1"/>
  <c r="D37" i="9"/>
  <c r="E36" i="9"/>
  <c r="F36" i="9" s="1"/>
  <c r="H36" i="9" s="1"/>
  <c r="D36" i="9"/>
  <c r="E35" i="9"/>
  <c r="F35" i="9" s="1"/>
  <c r="D35" i="9"/>
  <c r="E34" i="9"/>
  <c r="F34" i="9" s="1"/>
  <c r="D34" i="9"/>
  <c r="E33" i="9"/>
  <c r="F33" i="9" s="1"/>
  <c r="D33" i="9"/>
  <c r="E32" i="9"/>
  <c r="F32" i="9" s="1"/>
  <c r="H32" i="9" s="1"/>
  <c r="D32" i="9"/>
  <c r="E31" i="9"/>
  <c r="F31" i="9" s="1"/>
  <c r="D31" i="9"/>
  <c r="E30" i="9"/>
  <c r="F30" i="9" s="1"/>
  <c r="G30" i="9" s="1"/>
  <c r="D30" i="9"/>
  <c r="E29" i="9"/>
  <c r="F29" i="9" s="1"/>
  <c r="D29" i="9"/>
  <c r="E28" i="9"/>
  <c r="F28" i="9" s="1"/>
  <c r="G28" i="9" s="1"/>
  <c r="D28" i="9"/>
  <c r="E27" i="9"/>
  <c r="F27" i="9" s="1"/>
  <c r="D27" i="9"/>
  <c r="E26" i="9"/>
  <c r="F26" i="9" s="1"/>
  <c r="G26" i="9" s="1"/>
  <c r="D26" i="9"/>
  <c r="E25" i="9"/>
  <c r="F25" i="9" s="1"/>
  <c r="D25" i="9"/>
  <c r="E24" i="9"/>
  <c r="F24" i="9" s="1"/>
  <c r="G24" i="9" s="1"/>
  <c r="D24" i="9"/>
  <c r="E23" i="9"/>
  <c r="F23" i="9" s="1"/>
  <c r="D23" i="9"/>
  <c r="E22" i="9"/>
  <c r="F22" i="9" s="1"/>
  <c r="G22" i="9" s="1"/>
  <c r="D22" i="9"/>
  <c r="E21" i="9"/>
  <c r="F21" i="9" s="1"/>
  <c r="D21" i="9"/>
  <c r="E20" i="9"/>
  <c r="F20" i="9" s="1"/>
  <c r="G20" i="9" s="1"/>
  <c r="D20" i="9"/>
  <c r="E19" i="9"/>
  <c r="F19" i="9" s="1"/>
  <c r="D19" i="9"/>
  <c r="E18" i="9"/>
  <c r="F18" i="9" s="1"/>
  <c r="G18" i="9" s="1"/>
  <c r="D18" i="9"/>
  <c r="E17" i="9"/>
  <c r="F17" i="9" s="1"/>
  <c r="D17" i="9"/>
  <c r="I38" i="11" l="1"/>
  <c r="G38" i="11"/>
  <c r="I54" i="11"/>
  <c r="G54" i="11"/>
  <c r="I42" i="11"/>
  <c r="G42" i="11"/>
  <c r="I58" i="11"/>
  <c r="G58" i="11"/>
  <c r="I46" i="11"/>
  <c r="G46" i="11"/>
  <c r="I62" i="11"/>
  <c r="G62" i="11"/>
  <c r="I18" i="11"/>
  <c r="G18" i="11"/>
  <c r="I20" i="11"/>
  <c r="G20" i="11"/>
  <c r="I22" i="11"/>
  <c r="G22" i="11"/>
  <c r="I24" i="11"/>
  <c r="G24" i="11"/>
  <c r="I26" i="11"/>
  <c r="G26" i="11"/>
  <c r="I28" i="11"/>
  <c r="G28" i="11"/>
  <c r="I30" i="11"/>
  <c r="G30" i="11"/>
  <c r="I32" i="11"/>
  <c r="G32" i="11"/>
  <c r="I34" i="11"/>
  <c r="G34" i="11"/>
  <c r="I50" i="11"/>
  <c r="G50" i="11"/>
  <c r="I66" i="11"/>
  <c r="G66" i="11"/>
  <c r="G36" i="11"/>
  <c r="G40" i="11"/>
  <c r="G44" i="11"/>
  <c r="G48" i="11"/>
  <c r="G52" i="11"/>
  <c r="G56" i="11"/>
  <c r="G60" i="11"/>
  <c r="G64" i="11"/>
  <c r="G19" i="11"/>
  <c r="H19" i="11"/>
  <c r="I19" i="11"/>
  <c r="G23" i="11"/>
  <c r="H23" i="11"/>
  <c r="I23" i="11"/>
  <c r="G27" i="11"/>
  <c r="H27" i="11"/>
  <c r="I27" i="11"/>
  <c r="G31" i="11"/>
  <c r="H31" i="11"/>
  <c r="I31" i="11"/>
  <c r="G35" i="11"/>
  <c r="I35" i="11"/>
  <c r="H35" i="11"/>
  <c r="G39" i="11"/>
  <c r="I39" i="11"/>
  <c r="H39" i="11"/>
  <c r="G43" i="11"/>
  <c r="I43" i="11"/>
  <c r="H43" i="11"/>
  <c r="G47" i="11"/>
  <c r="I47" i="11"/>
  <c r="H47" i="11"/>
  <c r="G51" i="11"/>
  <c r="I51" i="11"/>
  <c r="H51" i="11"/>
  <c r="G55" i="11"/>
  <c r="I55" i="11"/>
  <c r="H55" i="11"/>
  <c r="G59" i="11"/>
  <c r="I59" i="11"/>
  <c r="H59" i="11"/>
  <c r="G63" i="11"/>
  <c r="H63" i="11"/>
  <c r="I63" i="11"/>
  <c r="G17" i="11"/>
  <c r="I17" i="11"/>
  <c r="H17" i="11"/>
  <c r="G21" i="11"/>
  <c r="I21" i="11"/>
  <c r="H21" i="11"/>
  <c r="G25" i="11"/>
  <c r="I25" i="11"/>
  <c r="H25" i="11"/>
  <c r="G29" i="11"/>
  <c r="I29" i="11"/>
  <c r="H29" i="11"/>
  <c r="G33" i="11"/>
  <c r="I33" i="11"/>
  <c r="H33" i="11"/>
  <c r="G37" i="11"/>
  <c r="I37" i="11"/>
  <c r="H37" i="11"/>
  <c r="G41" i="11"/>
  <c r="I41" i="11"/>
  <c r="H41" i="11"/>
  <c r="G45" i="11"/>
  <c r="I45" i="11"/>
  <c r="H45" i="11"/>
  <c r="G49" i="11"/>
  <c r="I49" i="11"/>
  <c r="H49" i="11"/>
  <c r="G53" i="11"/>
  <c r="I53" i="11"/>
  <c r="H53" i="11"/>
  <c r="G57" i="11"/>
  <c r="H57" i="11"/>
  <c r="I57" i="11"/>
  <c r="G61" i="11"/>
  <c r="H61" i="11"/>
  <c r="I61" i="11"/>
  <c r="G65" i="11"/>
  <c r="I65" i="11"/>
  <c r="H65" i="11"/>
  <c r="H18" i="11"/>
  <c r="H20" i="11"/>
  <c r="H22" i="11"/>
  <c r="H24" i="11"/>
  <c r="H26" i="11"/>
  <c r="H28" i="11"/>
  <c r="H30" i="11"/>
  <c r="H32" i="11"/>
  <c r="H34" i="11"/>
  <c r="H36" i="11"/>
  <c r="H38" i="11"/>
  <c r="H40" i="11"/>
  <c r="H42" i="11"/>
  <c r="H44" i="11"/>
  <c r="H46" i="11"/>
  <c r="H48" i="11"/>
  <c r="H50" i="11"/>
  <c r="H52" i="11"/>
  <c r="H54" i="11"/>
  <c r="H56" i="11"/>
  <c r="H58" i="11"/>
  <c r="H60" i="11"/>
  <c r="H62" i="11"/>
  <c r="H64" i="11"/>
  <c r="H66" i="11"/>
  <c r="I17" i="9"/>
  <c r="H17" i="9"/>
  <c r="H18" i="9"/>
  <c r="I19" i="9"/>
  <c r="H19" i="9"/>
  <c r="H20" i="9"/>
  <c r="I21" i="9"/>
  <c r="H21" i="9"/>
  <c r="H22" i="9"/>
  <c r="I23" i="9"/>
  <c r="H23" i="9"/>
  <c r="H24" i="9"/>
  <c r="I25" i="9"/>
  <c r="H25" i="9"/>
  <c r="H26" i="9"/>
  <c r="I27" i="9"/>
  <c r="H27" i="9"/>
  <c r="H28" i="9"/>
  <c r="I29" i="9"/>
  <c r="H29" i="9"/>
  <c r="H30" i="9"/>
  <c r="I31" i="9"/>
  <c r="G31" i="9"/>
  <c r="H31" i="9"/>
  <c r="G34" i="9"/>
  <c r="I34" i="9"/>
  <c r="I35" i="9"/>
  <c r="G35" i="9"/>
  <c r="H35" i="9"/>
  <c r="G38" i="9"/>
  <c r="I38" i="9"/>
  <c r="I39" i="9"/>
  <c r="G39" i="9"/>
  <c r="H39" i="9"/>
  <c r="G42" i="9"/>
  <c r="I42" i="9"/>
  <c r="I43" i="9"/>
  <c r="G43" i="9"/>
  <c r="H43" i="9"/>
  <c r="G46" i="9"/>
  <c r="I46" i="9"/>
  <c r="I47" i="9"/>
  <c r="G47" i="9"/>
  <c r="H47" i="9"/>
  <c r="G50" i="9"/>
  <c r="I50" i="9"/>
  <c r="I51" i="9"/>
  <c r="G51" i="9"/>
  <c r="H51" i="9"/>
  <c r="G54" i="9"/>
  <c r="I54" i="9"/>
  <c r="I55" i="9"/>
  <c r="G55" i="9"/>
  <c r="H55" i="9"/>
  <c r="G58" i="9"/>
  <c r="I58" i="9"/>
  <c r="I59" i="9"/>
  <c r="G59" i="9"/>
  <c r="H59" i="9"/>
  <c r="G62" i="9"/>
  <c r="I62" i="9"/>
  <c r="I63" i="9"/>
  <c r="G63" i="9"/>
  <c r="H63" i="9"/>
  <c r="G66" i="9"/>
  <c r="I66" i="9"/>
  <c r="G17" i="9"/>
  <c r="I18" i="9"/>
  <c r="G19" i="9"/>
  <c r="I20" i="9"/>
  <c r="G21" i="9"/>
  <c r="I22" i="9"/>
  <c r="G23" i="9"/>
  <c r="I24" i="9"/>
  <c r="G25" i="9"/>
  <c r="I26" i="9"/>
  <c r="G27" i="9"/>
  <c r="I28" i="9"/>
  <c r="G29" i="9"/>
  <c r="I30" i="9"/>
  <c r="H34" i="9"/>
  <c r="H38" i="9"/>
  <c r="H42" i="9"/>
  <c r="H46" i="9"/>
  <c r="H50" i="9"/>
  <c r="H54" i="9"/>
  <c r="H58" i="9"/>
  <c r="H62" i="9"/>
  <c r="H66" i="9"/>
  <c r="G32" i="9"/>
  <c r="I32" i="9"/>
  <c r="I33" i="9"/>
  <c r="G33" i="9"/>
  <c r="H33" i="9"/>
  <c r="G36" i="9"/>
  <c r="I36" i="9"/>
  <c r="I37" i="9"/>
  <c r="G37" i="9"/>
  <c r="H37" i="9"/>
  <c r="G40" i="9"/>
  <c r="I40" i="9"/>
  <c r="I41" i="9"/>
  <c r="G41" i="9"/>
  <c r="H41" i="9"/>
  <c r="G44" i="9"/>
  <c r="I44" i="9"/>
  <c r="I45" i="9"/>
  <c r="G45" i="9"/>
  <c r="H45" i="9"/>
  <c r="G48" i="9"/>
  <c r="I48" i="9"/>
  <c r="I49" i="9"/>
  <c r="G49" i="9"/>
  <c r="H49" i="9"/>
  <c r="G52" i="9"/>
  <c r="I52" i="9"/>
  <c r="I53" i="9"/>
  <c r="G53" i="9"/>
  <c r="H53" i="9"/>
  <c r="G56" i="9"/>
  <c r="I56" i="9"/>
  <c r="I57" i="9"/>
  <c r="H57" i="9"/>
  <c r="G57" i="9"/>
  <c r="G60" i="9"/>
  <c r="I60" i="9"/>
  <c r="I61" i="9"/>
  <c r="G61" i="9"/>
  <c r="H61" i="9"/>
  <c r="G64" i="9"/>
  <c r="I64" i="9"/>
  <c r="I65" i="9"/>
  <c r="G65" i="9"/>
  <c r="H65" i="9"/>
  <c r="E66" i="7"/>
  <c r="F66" i="7" s="1"/>
  <c r="I66" i="7" s="1"/>
  <c r="D66" i="7"/>
  <c r="E65" i="7"/>
  <c r="F65" i="7" s="1"/>
  <c r="D65" i="7"/>
  <c r="E64" i="7"/>
  <c r="F64" i="7" s="1"/>
  <c r="D64" i="7"/>
  <c r="E63" i="7"/>
  <c r="F63" i="7" s="1"/>
  <c r="H63" i="7" s="1"/>
  <c r="D63" i="7"/>
  <c r="E62" i="7"/>
  <c r="F62" i="7" s="1"/>
  <c r="D62" i="7"/>
  <c r="E61" i="7"/>
  <c r="F61" i="7" s="1"/>
  <c r="D61" i="7"/>
  <c r="E60" i="7"/>
  <c r="F60" i="7" s="1"/>
  <c r="D60" i="7"/>
  <c r="E59" i="7"/>
  <c r="F59" i="7" s="1"/>
  <c r="H59" i="7" s="1"/>
  <c r="D59" i="7"/>
  <c r="E58" i="7"/>
  <c r="F58" i="7" s="1"/>
  <c r="D58" i="7"/>
  <c r="E57" i="7"/>
  <c r="F57" i="7" s="1"/>
  <c r="H57" i="7" s="1"/>
  <c r="D57" i="7"/>
  <c r="E56" i="7"/>
  <c r="F56" i="7" s="1"/>
  <c r="D56" i="7"/>
  <c r="E55" i="7"/>
  <c r="F55" i="7" s="1"/>
  <c r="H55" i="7" s="1"/>
  <c r="D55" i="7"/>
  <c r="F54" i="7"/>
  <c r="D54" i="7"/>
  <c r="E53" i="7"/>
  <c r="F53" i="7" s="1"/>
  <c r="H53" i="7" s="1"/>
  <c r="D53" i="7"/>
  <c r="E52" i="7"/>
  <c r="F52" i="7" s="1"/>
  <c r="D52" i="7"/>
  <c r="E51" i="7"/>
  <c r="F51" i="7" s="1"/>
  <c r="H51" i="7" s="1"/>
  <c r="D51" i="7"/>
  <c r="E50" i="7"/>
  <c r="F50" i="7" s="1"/>
  <c r="D50" i="7"/>
  <c r="E49" i="7"/>
  <c r="F49" i="7" s="1"/>
  <c r="H49" i="7" s="1"/>
  <c r="D49" i="7"/>
  <c r="E48" i="7"/>
  <c r="F48" i="7" s="1"/>
  <c r="D48" i="7"/>
  <c r="E47" i="7"/>
  <c r="F47" i="7" s="1"/>
  <c r="H47" i="7" s="1"/>
  <c r="D47" i="7"/>
  <c r="E46" i="7"/>
  <c r="F46" i="7" s="1"/>
  <c r="D46" i="7"/>
  <c r="E45" i="7"/>
  <c r="F45" i="7" s="1"/>
  <c r="H45" i="7" s="1"/>
  <c r="D45" i="7"/>
  <c r="E44" i="7"/>
  <c r="F44" i="7" s="1"/>
  <c r="D44" i="7"/>
  <c r="E43" i="7"/>
  <c r="F43" i="7" s="1"/>
  <c r="H43" i="7" s="1"/>
  <c r="D43" i="7"/>
  <c r="E42" i="7"/>
  <c r="F42" i="7" s="1"/>
  <c r="D42" i="7"/>
  <c r="E41" i="7"/>
  <c r="F41" i="7" s="1"/>
  <c r="H41" i="7" s="1"/>
  <c r="D41" i="7"/>
  <c r="E40" i="7"/>
  <c r="F40" i="7" s="1"/>
  <c r="D40" i="7"/>
  <c r="E39" i="7"/>
  <c r="F39" i="7" s="1"/>
  <c r="H39" i="7" s="1"/>
  <c r="D39" i="7"/>
  <c r="E38" i="7"/>
  <c r="F38" i="7" s="1"/>
  <c r="D38" i="7"/>
  <c r="E37" i="7"/>
  <c r="F37" i="7" s="1"/>
  <c r="H37" i="7" s="1"/>
  <c r="D37" i="7"/>
  <c r="E36" i="7"/>
  <c r="F36" i="7" s="1"/>
  <c r="D36" i="7"/>
  <c r="E35" i="7"/>
  <c r="F35" i="7" s="1"/>
  <c r="H35" i="7" s="1"/>
  <c r="D35" i="7"/>
  <c r="E34" i="7"/>
  <c r="F34" i="7" s="1"/>
  <c r="D34" i="7"/>
  <c r="E33" i="7"/>
  <c r="F33" i="7" s="1"/>
  <c r="H33" i="7" s="1"/>
  <c r="D33" i="7"/>
  <c r="E32" i="7"/>
  <c r="F32" i="7" s="1"/>
  <c r="D32" i="7"/>
  <c r="E31" i="7"/>
  <c r="F31" i="7" s="1"/>
  <c r="H31" i="7" s="1"/>
  <c r="D31" i="7"/>
  <c r="E30" i="7"/>
  <c r="F30" i="7" s="1"/>
  <c r="D30" i="7"/>
  <c r="E29" i="7"/>
  <c r="F29" i="7" s="1"/>
  <c r="H29" i="7" s="1"/>
  <c r="D29" i="7"/>
  <c r="E28" i="7"/>
  <c r="F28" i="7" s="1"/>
  <c r="D28" i="7"/>
  <c r="F27" i="7"/>
  <c r="H27" i="7" s="1"/>
  <c r="D27" i="7"/>
  <c r="E26" i="7"/>
  <c r="F26" i="7" s="1"/>
  <c r="D26" i="7"/>
  <c r="E25" i="7"/>
  <c r="F25" i="7" s="1"/>
  <c r="H25" i="7" s="1"/>
  <c r="D25" i="7"/>
  <c r="E24" i="7"/>
  <c r="F24" i="7" s="1"/>
  <c r="D24" i="7"/>
  <c r="E23" i="7"/>
  <c r="F23" i="7" s="1"/>
  <c r="H23" i="7" s="1"/>
  <c r="D23" i="7"/>
  <c r="E22" i="7"/>
  <c r="F22" i="7" s="1"/>
  <c r="D22" i="7"/>
  <c r="E21" i="7"/>
  <c r="F21" i="7" s="1"/>
  <c r="H21" i="7" s="1"/>
  <c r="D21" i="7"/>
  <c r="E20" i="7"/>
  <c r="F20" i="7" s="1"/>
  <c r="D20" i="7"/>
  <c r="E19" i="7"/>
  <c r="F19" i="7" s="1"/>
  <c r="H19" i="7" s="1"/>
  <c r="D19" i="7"/>
  <c r="E18" i="7"/>
  <c r="F18" i="7" s="1"/>
  <c r="D18" i="7"/>
  <c r="E17" i="7"/>
  <c r="F17" i="7" s="1"/>
  <c r="H17" i="7" s="1"/>
  <c r="D17" i="7"/>
  <c r="I18" i="7" l="1"/>
  <c r="G18" i="7"/>
  <c r="H18" i="7"/>
  <c r="I22" i="7"/>
  <c r="H22" i="7"/>
  <c r="G22" i="7"/>
  <c r="I26" i="7"/>
  <c r="G26" i="7"/>
  <c r="H26" i="7"/>
  <c r="I30" i="7"/>
  <c r="G30" i="7"/>
  <c r="H30" i="7"/>
  <c r="I34" i="7"/>
  <c r="G34" i="7"/>
  <c r="H34" i="7"/>
  <c r="I38" i="7"/>
  <c r="G38" i="7"/>
  <c r="H38" i="7"/>
  <c r="I42" i="7"/>
  <c r="G42" i="7"/>
  <c r="H42" i="7"/>
  <c r="I46" i="7"/>
  <c r="H46" i="7"/>
  <c r="G46" i="7"/>
  <c r="I50" i="7"/>
  <c r="G50" i="7"/>
  <c r="H50" i="7"/>
  <c r="I54" i="7"/>
  <c r="G54" i="7"/>
  <c r="H54" i="7"/>
  <c r="I58" i="7"/>
  <c r="H58" i="7"/>
  <c r="G58" i="7"/>
  <c r="G61" i="7"/>
  <c r="I61" i="7"/>
  <c r="I62" i="7"/>
  <c r="H62" i="7"/>
  <c r="G62" i="7"/>
  <c r="H61" i="7"/>
  <c r="G19" i="7"/>
  <c r="I19" i="7"/>
  <c r="I20" i="7"/>
  <c r="H20" i="7"/>
  <c r="G20" i="7"/>
  <c r="G23" i="7"/>
  <c r="I23" i="7"/>
  <c r="I24" i="7"/>
  <c r="H24" i="7"/>
  <c r="G24" i="7"/>
  <c r="G27" i="7"/>
  <c r="I27" i="7"/>
  <c r="I28" i="7"/>
  <c r="G28" i="7"/>
  <c r="H28" i="7"/>
  <c r="G31" i="7"/>
  <c r="I31" i="7"/>
  <c r="I32" i="7"/>
  <c r="G32" i="7"/>
  <c r="H32" i="7"/>
  <c r="G35" i="7"/>
  <c r="I35" i="7"/>
  <c r="I36" i="7"/>
  <c r="G36" i="7"/>
  <c r="H36" i="7"/>
  <c r="G39" i="7"/>
  <c r="I39" i="7"/>
  <c r="I40" i="7"/>
  <c r="G40" i="7"/>
  <c r="H40" i="7"/>
  <c r="G43" i="7"/>
  <c r="I43" i="7"/>
  <c r="I44" i="7"/>
  <c r="G44" i="7"/>
  <c r="H44" i="7"/>
  <c r="G47" i="7"/>
  <c r="I47" i="7"/>
  <c r="I48" i="7"/>
  <c r="H48" i="7"/>
  <c r="G48" i="7"/>
  <c r="G51" i="7"/>
  <c r="I51" i="7"/>
  <c r="I52" i="7"/>
  <c r="G52" i="7"/>
  <c r="H52" i="7"/>
  <c r="G55" i="7"/>
  <c r="I55" i="7"/>
  <c r="I56" i="7"/>
  <c r="H56" i="7"/>
  <c r="G56" i="7"/>
  <c r="G59" i="7"/>
  <c r="I59" i="7"/>
  <c r="I60" i="7"/>
  <c r="H60" i="7"/>
  <c r="G60" i="7"/>
  <c r="G63" i="7"/>
  <c r="I63" i="7"/>
  <c r="I64" i="7"/>
  <c r="G64" i="7"/>
  <c r="H64" i="7"/>
  <c r="G17" i="7"/>
  <c r="I17" i="7"/>
  <c r="G21" i="7"/>
  <c r="I21" i="7"/>
  <c r="G25" i="7"/>
  <c r="I25" i="7"/>
  <c r="G29" i="7"/>
  <c r="I29" i="7"/>
  <c r="G33" i="7"/>
  <c r="I33" i="7"/>
  <c r="G37" i="7"/>
  <c r="I37" i="7"/>
  <c r="G41" i="7"/>
  <c r="I41" i="7"/>
  <c r="G45" i="7"/>
  <c r="I45" i="7"/>
  <c r="G49" i="7"/>
  <c r="I49" i="7"/>
  <c r="G53" i="7"/>
  <c r="I53" i="7"/>
  <c r="G57" i="7"/>
  <c r="I57" i="7"/>
  <c r="G65" i="7"/>
  <c r="H65" i="7"/>
  <c r="I65" i="7"/>
  <c r="H66" i="7"/>
  <c r="G66" i="7"/>
  <c r="E66" i="1" l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H56" i="1" l="1"/>
  <c r="G56" i="1"/>
  <c r="I56" i="1"/>
  <c r="H34" i="1"/>
  <c r="I34" i="1"/>
  <c r="G34" i="1"/>
  <c r="H20" i="1"/>
  <c r="G20" i="1"/>
  <c r="I20" i="1"/>
  <c r="G44" i="1"/>
  <c r="I44" i="1"/>
  <c r="H44" i="1"/>
  <c r="H21" i="1"/>
  <c r="I21" i="1"/>
  <c r="G21" i="1"/>
  <c r="I57" i="1"/>
  <c r="H57" i="1"/>
  <c r="G57" i="1"/>
  <c r="I46" i="1"/>
  <c r="G46" i="1"/>
  <c r="H46" i="1"/>
  <c r="I23" i="1"/>
  <c r="G23" i="1"/>
  <c r="H23" i="1"/>
  <c r="G47" i="1"/>
  <c r="I47" i="1"/>
  <c r="H47" i="1"/>
  <c r="G50" i="1"/>
  <c r="H50" i="1"/>
  <c r="I50" i="1"/>
  <c r="H32" i="1"/>
  <c r="I32" i="1"/>
  <c r="G32" i="1"/>
  <c r="I45" i="1"/>
  <c r="H45" i="1"/>
  <c r="G45" i="1"/>
  <c r="I22" i="1"/>
  <c r="H22" i="1"/>
  <c r="G22" i="1"/>
  <c r="H58" i="1"/>
  <c r="I58" i="1"/>
  <c r="G58" i="1"/>
  <c r="I59" i="1"/>
  <c r="H59" i="1"/>
  <c r="G59" i="1"/>
  <c r="H52" i="1"/>
  <c r="G52" i="1"/>
  <c r="I52" i="1"/>
  <c r="H55" i="1"/>
  <c r="I55" i="1"/>
  <c r="G55" i="1"/>
  <c r="I18" i="1"/>
  <c r="H18" i="1"/>
  <c r="G18" i="1"/>
  <c r="I42" i="1"/>
  <c r="G42" i="1"/>
  <c r="H42" i="1"/>
  <c r="I33" i="1"/>
  <c r="H33" i="1"/>
  <c r="G33" i="1"/>
  <c r="G61" i="1"/>
  <c r="I61" i="1"/>
  <c r="H61" i="1"/>
  <c r="G27" i="1"/>
  <c r="I27" i="1"/>
  <c r="H27" i="1"/>
  <c r="H40" i="1"/>
  <c r="G40" i="1"/>
  <c r="I40" i="1"/>
  <c r="G38" i="1"/>
  <c r="H38" i="1"/>
  <c r="I38" i="1"/>
  <c r="G41" i="1"/>
  <c r="H41" i="1"/>
  <c r="I41" i="1"/>
  <c r="I36" i="1"/>
  <c r="G36" i="1"/>
  <c r="H36" i="1"/>
  <c r="I19" i="1"/>
  <c r="H19" i="1"/>
  <c r="G19" i="1"/>
  <c r="I24" i="1"/>
  <c r="G24" i="1"/>
  <c r="H24" i="1"/>
  <c r="I43" i="1"/>
  <c r="G43" i="1"/>
  <c r="H43" i="1"/>
  <c r="H37" i="1"/>
  <c r="I37" i="1"/>
  <c r="G37" i="1"/>
  <c r="I48" i="1"/>
  <c r="G48" i="1"/>
  <c r="H48" i="1"/>
  <c r="I60" i="1"/>
  <c r="H60" i="1"/>
  <c r="G60" i="1"/>
  <c r="H25" i="1"/>
  <c r="I25" i="1"/>
  <c r="G25" i="1"/>
  <c r="I35" i="1"/>
  <c r="G35" i="1"/>
  <c r="H35" i="1"/>
  <c r="G49" i="1"/>
  <c r="I49" i="1"/>
  <c r="H49" i="1"/>
  <c r="G62" i="1"/>
  <c r="H62" i="1"/>
  <c r="I62" i="1"/>
  <c r="G51" i="1"/>
  <c r="H51" i="1"/>
  <c r="I51" i="1"/>
  <c r="H28" i="1"/>
  <c r="G28" i="1"/>
  <c r="I28" i="1"/>
  <c r="I63" i="1"/>
  <c r="G63" i="1"/>
  <c r="H63" i="1"/>
  <c r="H29" i="1"/>
  <c r="G29" i="1"/>
  <c r="I29" i="1"/>
  <c r="H53" i="1"/>
  <c r="G53" i="1"/>
  <c r="I53" i="1"/>
  <c r="G65" i="1"/>
  <c r="I65" i="1"/>
  <c r="H65" i="1"/>
  <c r="H31" i="1"/>
  <c r="G31" i="1"/>
  <c r="I31" i="1"/>
  <c r="I66" i="1"/>
  <c r="G66" i="1"/>
  <c r="H66" i="1"/>
  <c r="G26" i="1"/>
  <c r="I26" i="1"/>
  <c r="H26" i="1"/>
  <c r="I30" i="1"/>
  <c r="G30" i="1"/>
  <c r="H30" i="1"/>
  <c r="G39" i="1"/>
  <c r="I39" i="1"/>
  <c r="H39" i="1"/>
  <c r="H64" i="1"/>
  <c r="I64" i="1"/>
  <c r="G64" i="1"/>
  <c r="I54" i="1"/>
  <c r="H54" i="1"/>
  <c r="G54" i="1"/>
  <c r="F17" i="1"/>
  <c r="G17" i="1" l="1"/>
  <c r="I17" i="1"/>
  <c r="H17" i="1"/>
</calcChain>
</file>

<file path=xl/sharedStrings.xml><?xml version="1.0" encoding="utf-8"?>
<sst xmlns="http://schemas.openxmlformats.org/spreadsheetml/2006/main" count="329" uniqueCount="74">
  <si>
    <t>Republic of the Phillipines</t>
  </si>
  <si>
    <t>Department of Education</t>
  </si>
  <si>
    <t>ITEM ANALYSIS/ASSESSMENT</t>
  </si>
  <si>
    <t>REMARKS</t>
  </si>
  <si>
    <t xml:space="preserve">  Skills Tested</t>
  </si>
  <si>
    <t>%</t>
  </si>
  <si>
    <t>Not Mastered</t>
  </si>
  <si>
    <t>Least  Mastered</t>
  </si>
  <si>
    <t>Mastered</t>
  </si>
  <si>
    <t>(below 50%)</t>
  </si>
  <si>
    <t>(51-74%)</t>
  </si>
  <si>
    <t>(75-100%)</t>
  </si>
  <si>
    <r>
      <t xml:space="preserve">No of Items: </t>
    </r>
    <r>
      <rPr>
        <b/>
        <u/>
        <sz val="9"/>
        <color theme="1"/>
        <rFont val="Calibri"/>
        <family val="2"/>
        <scheme val="minor"/>
      </rPr>
      <t xml:space="preserve"> 50</t>
    </r>
  </si>
  <si>
    <t>Prepared by:</t>
  </si>
  <si>
    <t>Item no.</t>
  </si>
  <si>
    <t>Frequency of error</t>
  </si>
  <si>
    <t>No. of correct Responses</t>
  </si>
  <si>
    <t>No. of Students :</t>
  </si>
  <si>
    <t>Date :</t>
  </si>
  <si>
    <t>Region VIII (Eastern Visayas)</t>
  </si>
  <si>
    <t>Division of Leyte</t>
  </si>
  <si>
    <t>Matalom South District</t>
  </si>
  <si>
    <t>Nakapagsusuri nang mabuti sa mga bagay na may kinalaman sa sarili</t>
  </si>
  <si>
    <t>Nakagagamit ng wasto/tamang impormasyon</t>
  </si>
  <si>
    <t>Nakasasang-ayon sa pasya ng nakararami kung ikakabuti ito</t>
  </si>
  <si>
    <t>Sept. 25, 2024</t>
  </si>
  <si>
    <t>Teacher III</t>
  </si>
  <si>
    <t>Exam Name: First Periodical Exam</t>
  </si>
  <si>
    <t>Mathematics 6</t>
  </si>
  <si>
    <t>Adds simple fractions without regrouping</t>
  </si>
  <si>
    <t>Solves routine &amp; non-routine problems involving addtion of fractions</t>
  </si>
  <si>
    <t>Multiplies simple fractions</t>
  </si>
  <si>
    <t>Subtracts simple fractions</t>
  </si>
  <si>
    <t>Divides simple fractions</t>
  </si>
  <si>
    <t>Subtracts decimasl and mixed decimals</t>
  </si>
  <si>
    <t>Solves multi step problems involving multiplication of decimals</t>
  </si>
  <si>
    <t>Divides whole numbers by decimals up to 2 decimal places &amp; vice versa</t>
  </si>
  <si>
    <t>Differentiates terminating from repeating decimal quotients</t>
  </si>
  <si>
    <t>Subtracts simple fraction from mixed numbers</t>
  </si>
  <si>
    <t>Solves routine &amp; non-routine problems involving subtraction of fractions</t>
  </si>
  <si>
    <t>Noted:</t>
  </si>
  <si>
    <t>Subtracts decimals and mixed decimals</t>
  </si>
  <si>
    <t>Filipino 6</t>
  </si>
  <si>
    <t>Pagsagot sa tanong tungkol sa nabasang pabula</t>
  </si>
  <si>
    <t>Pagsagot sa tanong na bakit at paano</t>
  </si>
  <si>
    <t>Paggamit nang wasto sa pangngalan sa pakikipag-usap</t>
  </si>
  <si>
    <t>Paggamit nang wasto sa panghalip sa iba't ibang pangyayari</t>
  </si>
  <si>
    <t>Pagbigay ng kahulugan sa pahayag ng mga tauhan sa nabasang pabula</t>
  </si>
  <si>
    <t>Pagbigay ng kahulugan sa kilos ng mga tauhan sa nabasang pabula</t>
  </si>
  <si>
    <t>Nabibigyang kahulugan ang sawikain</t>
  </si>
  <si>
    <t xml:space="preserve">Pagsunod-sunod sa mga pangyayari sa kwento </t>
  </si>
  <si>
    <t xml:space="preserve">Pagbibigay ng hinuha sa mga kalalabasan na pangyayari </t>
  </si>
  <si>
    <t>Paggamit nang wasto ang panghalip na panao</t>
  </si>
  <si>
    <t xml:space="preserve">Paggamit sa pangkalahatang sanggunian </t>
  </si>
  <si>
    <t>Pagpapahayag ng sariling opinyon o reaksyon sa isang usapan</t>
  </si>
  <si>
    <t>Paggamit ng magagalang na pananalita sa pagpapahayag ng ediya</t>
  </si>
  <si>
    <t>Paggamit nang wasto sa panghalip na pamatlig</t>
  </si>
  <si>
    <t>Paggamit nang wasto sa panghalip na panaklaw</t>
  </si>
  <si>
    <t>Pagsuri sa epekto ng kaisipang liberal sa pag-usbong ng damdaming nasyonalismo</t>
  </si>
  <si>
    <t>Pagpaliwanag sa layunin at resulta ng pagkakatatag ng Kilusang Propaganda</t>
  </si>
  <si>
    <t>Pagsuri sa dahilan at pangyayaring naganap sa Panahon ng Himagsikang Pilipino</t>
  </si>
  <si>
    <t>Pagtalakay sa partisipasyon ng mga kababaihan sa rebolusyong Pilipino</t>
  </si>
  <si>
    <t>Pagpapahalaga sa deklarasyon ng kasarinlan ng Pilipinas</t>
  </si>
  <si>
    <t>Pagsusuri sa pakikibaka ng mga Pilipino sa panahon ng Digmaang Pilipino-Amerikano</t>
  </si>
  <si>
    <t>Pagbigay halaga sa mga kontribusyon ng mga natatanging Pilipinong nakipaglaban para sa kalayaan</t>
  </si>
  <si>
    <t>Pagsuri sa dahilan at pangyayaring naganap sa Sigaw ng Pugad Lawin</t>
  </si>
  <si>
    <t>AP 6</t>
  </si>
  <si>
    <t>Tag-os Elementary School</t>
  </si>
  <si>
    <t>GRACE A. ALBERO</t>
  </si>
  <si>
    <t>EVA NOEMI P. ABAYON EdD</t>
  </si>
  <si>
    <t>School Head</t>
  </si>
  <si>
    <t>Grade &amp; Section : 6 - Tangege</t>
  </si>
  <si>
    <t>ESP 6</t>
  </si>
  <si>
    <t>Grade &amp; Section : 6 -Tangege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</si>
</sst>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protection locked="0"/>
    </xf>
    <xf numFmtId="0" fontId="8" fillId="7" borderId="2" xfId="0" applyFont="1" applyFill="1" applyBorder="1" applyAlignment="1" applyProtection="1">
      <alignment horizontal="center"/>
      <protection locked="0"/>
    </xf>
    <xf numFmtId="0" fontId="8" fillId="5" borderId="7" xfId="0" applyFont="1" applyFill="1" applyBorder="1" applyAlignment="1" applyProtection="1">
      <alignment horizontal="center"/>
      <protection locked="0"/>
    </xf>
    <xf numFmtId="0" fontId="8" fillId="6" borderId="7" xfId="0" applyFont="1" applyFill="1" applyBorder="1" applyAlignment="1" applyProtection="1">
      <alignment horizontal="center"/>
      <protection locked="0"/>
    </xf>
    <xf numFmtId="0" fontId="8" fillId="7" borderId="7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1" fontId="3" fillId="0" borderId="8" xfId="0" applyNumberFormat="1" applyFont="1" applyBorder="1" applyAlignment="1" applyProtection="1">
      <alignment horizontal="center"/>
      <protection locked="0" hidden="1"/>
    </xf>
    <xf numFmtId="0" fontId="2" fillId="0" borderId="8" xfId="0" applyFont="1" applyBorder="1" applyAlignment="1" applyProtection="1">
      <alignment horizontal="center"/>
      <protection locked="0" hidden="1"/>
    </xf>
    <xf numFmtId="0" fontId="4" fillId="0" borderId="8" xfId="0" applyFont="1" applyBorder="1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12" fillId="0" borderId="8" xfId="0" applyFont="1" applyBorder="1" applyProtection="1">
      <protection locked="0"/>
    </xf>
    <xf numFmtId="0" fontId="8" fillId="5" borderId="2" xfId="0" applyFont="1" applyFill="1" applyBorder="1" applyAlignment="1" applyProtection="1">
      <alignment horizontal="center" wrapText="1"/>
      <protection locked="0"/>
    </xf>
    <xf numFmtId="0" fontId="8" fillId="6" borderId="2" xfId="0" applyFon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3" fillId="0" borderId="8" xfId="0" applyFont="1" applyBorder="1" applyProtection="1">
      <protection locked="0"/>
    </xf>
    <xf numFmtId="0" fontId="13" fillId="4" borderId="8" xfId="0" applyFont="1" applyFill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horizontal="center"/>
      <protection locked="0"/>
    </xf>
    <xf numFmtId="0" fontId="13" fillId="0" borderId="8" xfId="0" applyFont="1" applyFill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right" vertical="center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 applyProtection="1">
      <alignment horizontal="center" vertical="center" wrapText="1"/>
      <protection locked="0"/>
    </xf>
    <xf numFmtId="0" fontId="8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6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center" vertical="center" wrapText="1"/>
      <protection locked="0"/>
    </xf>
    <xf numFmtId="0" fontId="8" fillId="8" borderId="6" xfId="0" applyFont="1" applyFill="1" applyBorder="1" applyAlignment="1" applyProtection="1">
      <alignment horizontal="center" vertical="center" wrapText="1"/>
      <protection locked="0"/>
    </xf>
    <xf numFmtId="0" fontId="8" fillId="8" borderId="7" xfId="0" applyFont="1" applyFill="1" applyBorder="1" applyAlignment="1" applyProtection="1">
      <alignment horizontal="center" vertical="center" wrapText="1"/>
      <protection locked="0"/>
    </xf>
    <xf numFmtId="0" fontId="11" fillId="8" borderId="2" xfId="0" applyFont="1" applyFill="1" applyBorder="1" applyAlignment="1" applyProtection="1">
      <alignment horizontal="center" vertical="center"/>
      <protection locked="0"/>
    </xf>
    <xf numFmtId="0" fontId="11" fillId="8" borderId="6" xfId="0" applyFont="1" applyFill="1" applyBorder="1" applyAlignment="1" applyProtection="1">
      <alignment horizontal="center" vertical="center"/>
      <protection locked="0"/>
    </xf>
    <xf numFmtId="0" fontId="11" fillId="8" borderId="7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4" xfId="0" applyFont="1" applyFill="1" applyBorder="1" applyAlignment="1" applyProtection="1">
      <alignment horizontal="center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1" fillId="3" borderId="6" xfId="0" applyFont="1" applyFill="1" applyBorder="1" applyAlignment="1" applyProtection="1">
      <alignment horizontal="center" vertical="center" wrapText="1"/>
      <protection locked="0"/>
    </xf>
    <xf numFmtId="0" fontId="11" fillId="3" borderId="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opLeftCell="A36" zoomScale="130" zoomScaleNormal="130" workbookViewId="0">
      <selection activeCell="E42" sqref="E42"/>
    </sheetView>
  </sheetViews>
  <sheetFormatPr defaultColWidth="9.1796875" defaultRowHeight="14.5" x14ac:dyDescent="0.35"/>
  <cols>
    <col min="1" max="1" width="3.26953125" style="1" customWidth="1"/>
    <col min="2" max="2" width="44.54296875" style="1" customWidth="1"/>
    <col min="3" max="3" width="6.7265625" style="1" customWidth="1"/>
    <col min="4" max="4" width="3.7265625" style="1" customWidth="1"/>
    <col min="5" max="5" width="6.453125" style="1" customWidth="1"/>
    <col min="6" max="6" width="3.7265625" style="1" customWidth="1"/>
    <col min="7" max="7" width="7.26953125" style="1" customWidth="1"/>
    <col min="8" max="8" width="7.726562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67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35">
      <c r="A8" s="25"/>
      <c r="B8" s="25"/>
      <c r="C8" s="25"/>
      <c r="D8" s="25"/>
      <c r="E8" s="25"/>
      <c r="F8" s="25"/>
      <c r="G8" s="25"/>
      <c r="H8" s="25"/>
      <c r="I8" s="25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66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35">
      <c r="A12" s="4"/>
      <c r="B12" s="4" t="s">
        <v>71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39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40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41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ht="22" x14ac:dyDescent="0.35">
      <c r="A17" s="28">
        <v>1</v>
      </c>
      <c r="B17" s="31" t="s">
        <v>58</v>
      </c>
      <c r="C17" s="12">
        <v>6</v>
      </c>
      <c r="D17" s="15">
        <f>SUM(C17/G12)*100</f>
        <v>27.27272727272727</v>
      </c>
      <c r="E17" s="16">
        <f>SUM(-C17,G12)</f>
        <v>16</v>
      </c>
      <c r="F17" s="15">
        <f>SUM(E17/G12)*100</f>
        <v>72.727272727272734</v>
      </c>
      <c r="G17" s="17" t="str">
        <f>IF(F17&gt;=75,"_",IF(F17&gt;=51,"_",IF(F17&gt;=1,"/")))</f>
        <v>_</v>
      </c>
      <c r="H17" s="17" t="str">
        <f>IF(F17&gt;=75,"_",IF(F17&gt;=51,"/",IF(F17&gt;=1,"_")))</f>
        <v>/</v>
      </c>
      <c r="I17" s="17" t="str">
        <f>IF(F17&gt;=75,"/",IF(F17&gt;=51,"_",IF(F17&gt;=1,"_")))</f>
        <v>_</v>
      </c>
    </row>
    <row r="18" spans="1:9" ht="22" x14ac:dyDescent="0.35">
      <c r="A18" s="29">
        <v>2</v>
      </c>
      <c r="B18" s="31" t="s">
        <v>59</v>
      </c>
      <c r="C18" s="12">
        <v>2</v>
      </c>
      <c r="D18" s="15">
        <f>SUM(C18/G12)*100</f>
        <v>9.0909090909090917</v>
      </c>
      <c r="E18" s="16">
        <f>SUM(-C18,G12)</f>
        <v>20</v>
      </c>
      <c r="F18" s="15">
        <f>SUM(E18/G12)*100</f>
        <v>90.909090909090907</v>
      </c>
      <c r="G18" s="17" t="str">
        <f t="shared" ref="G18:G66" si="0">IF(F18&gt;=75,"_",IF(F18&gt;=51,"_",IF(F18&gt;=1,"/")))</f>
        <v>_</v>
      </c>
      <c r="H18" s="17" t="str">
        <f t="shared" ref="H18:H66" si="1">IF(F18&gt;=75,"_",IF(F18&gt;=51,"/",IF(F18&gt;=1,"_")))</f>
        <v>_</v>
      </c>
      <c r="I18" s="17" t="str">
        <f t="shared" ref="I18:I66" si="2">IF(F18&gt;=75,"/",IF(F18&gt;=51,"_",IF(F18&gt;=1,"_")))</f>
        <v>/</v>
      </c>
    </row>
    <row r="19" spans="1:9" ht="22" x14ac:dyDescent="0.35">
      <c r="A19" s="29">
        <v>3</v>
      </c>
      <c r="B19" s="31" t="s">
        <v>60</v>
      </c>
      <c r="C19" s="12">
        <v>8</v>
      </c>
      <c r="D19" s="15">
        <f>SUM(C19/G12)*100</f>
        <v>36.363636363636367</v>
      </c>
      <c r="E19" s="16">
        <f>SUM(-C19,G12)</f>
        <v>14</v>
      </c>
      <c r="F19" s="15">
        <f>SUM(E19/G12)*100</f>
        <v>63.636363636363633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29">
        <v>4</v>
      </c>
      <c r="B20" s="27" t="s">
        <v>61</v>
      </c>
      <c r="C20" s="12">
        <v>3</v>
      </c>
      <c r="D20" s="15">
        <f>SUM(C20/G12)*100</f>
        <v>13.636363636363635</v>
      </c>
      <c r="E20" s="16">
        <f>SUM(-C20,G12)</f>
        <v>19</v>
      </c>
      <c r="F20" s="15">
        <f>SUM(E20/G12)*100</f>
        <v>86.36363636363636</v>
      </c>
      <c r="G20" s="17" t="str">
        <f t="shared" si="0"/>
        <v>_</v>
      </c>
      <c r="H20" s="17" t="str">
        <f t="shared" si="1"/>
        <v>_</v>
      </c>
      <c r="I20" s="17" t="str">
        <f t="shared" si="2"/>
        <v>/</v>
      </c>
    </row>
    <row r="21" spans="1:9" x14ac:dyDescent="0.35">
      <c r="A21" s="29">
        <v>5</v>
      </c>
      <c r="B21" s="27" t="s">
        <v>62</v>
      </c>
      <c r="C21" s="12">
        <v>5</v>
      </c>
      <c r="D21" s="15">
        <f>SUM(C21/G12)*100</f>
        <v>22.727272727272727</v>
      </c>
      <c r="E21" s="16">
        <f>SUM(-C21,G12)</f>
        <v>17</v>
      </c>
      <c r="F21" s="15">
        <f>SUM(E21/G12)*100</f>
        <v>77.272727272727266</v>
      </c>
      <c r="G21" s="17" t="str">
        <f t="shared" si="0"/>
        <v>_</v>
      </c>
      <c r="H21" s="17" t="str">
        <f t="shared" si="1"/>
        <v>_</v>
      </c>
      <c r="I21" s="17" t="str">
        <f t="shared" si="2"/>
        <v>/</v>
      </c>
    </row>
    <row r="22" spans="1:9" ht="22" x14ac:dyDescent="0.35">
      <c r="A22" s="29">
        <v>6</v>
      </c>
      <c r="B22" s="31" t="s">
        <v>63</v>
      </c>
      <c r="C22" s="12">
        <v>9</v>
      </c>
      <c r="D22" s="15">
        <f>SUM(C22/G12)*100</f>
        <v>40.909090909090914</v>
      </c>
      <c r="E22" s="16">
        <f>SUM(-C22,G12)</f>
        <v>13</v>
      </c>
      <c r="F22" s="15">
        <f>SUM(E22/G12)*100</f>
        <v>59.090909090909093</v>
      </c>
      <c r="G22" s="17" t="str">
        <f t="shared" si="0"/>
        <v>_</v>
      </c>
      <c r="H22" s="17" t="str">
        <f t="shared" si="1"/>
        <v>/</v>
      </c>
      <c r="I22" s="17" t="str">
        <f t="shared" si="2"/>
        <v>_</v>
      </c>
    </row>
    <row r="23" spans="1:9" ht="22" x14ac:dyDescent="0.35">
      <c r="A23" s="29">
        <v>7</v>
      </c>
      <c r="B23" s="31" t="s">
        <v>64</v>
      </c>
      <c r="C23" s="12">
        <v>11</v>
      </c>
      <c r="D23" s="15">
        <f>SUM(C23/G12)*100</f>
        <v>50</v>
      </c>
      <c r="E23" s="16">
        <f>SUM(-C23,G12)</f>
        <v>11</v>
      </c>
      <c r="F23" s="15">
        <f>SUM(E23/G12)*100</f>
        <v>50</v>
      </c>
      <c r="G23" s="17" t="str">
        <f t="shared" si="0"/>
        <v>/</v>
      </c>
      <c r="H23" s="17" t="str">
        <f t="shared" si="1"/>
        <v>_</v>
      </c>
      <c r="I23" s="17" t="str">
        <f t="shared" si="2"/>
        <v>_</v>
      </c>
    </row>
    <row r="24" spans="1:9" ht="22" x14ac:dyDescent="0.35">
      <c r="A24" s="29">
        <v>8</v>
      </c>
      <c r="B24" s="31" t="s">
        <v>58</v>
      </c>
      <c r="C24" s="12">
        <v>7</v>
      </c>
      <c r="D24" s="15">
        <f>SUM(C24/G12)*100</f>
        <v>31.818181818181817</v>
      </c>
      <c r="E24" s="16">
        <f>SUM(-C24,G12)</f>
        <v>15</v>
      </c>
      <c r="F24" s="15">
        <f>SUM(E24/G12)*100</f>
        <v>68.181818181818173</v>
      </c>
      <c r="G24" s="17" t="str">
        <f t="shared" si="0"/>
        <v>_</v>
      </c>
      <c r="H24" s="17" t="str">
        <f t="shared" si="1"/>
        <v>/</v>
      </c>
      <c r="I24" s="17" t="str">
        <f t="shared" si="2"/>
        <v>_</v>
      </c>
    </row>
    <row r="25" spans="1:9" ht="22" x14ac:dyDescent="0.35">
      <c r="A25" s="29">
        <v>9</v>
      </c>
      <c r="B25" s="31" t="s">
        <v>59</v>
      </c>
      <c r="C25" s="12">
        <v>3</v>
      </c>
      <c r="D25" s="15">
        <f>SUM(C25/G12)*100</f>
        <v>13.636363636363635</v>
      </c>
      <c r="E25" s="16">
        <f>SUM(-C25,G12)</f>
        <v>19</v>
      </c>
      <c r="F25" s="15">
        <f>SUM(E25/G12)*100</f>
        <v>86.36363636363636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ht="22" x14ac:dyDescent="0.35">
      <c r="A26" s="29">
        <v>10</v>
      </c>
      <c r="B26" s="31" t="s">
        <v>60</v>
      </c>
      <c r="C26" s="12">
        <v>5</v>
      </c>
      <c r="D26" s="15">
        <f>SUM(C26/G12)*100</f>
        <v>22.727272727272727</v>
      </c>
      <c r="E26" s="16">
        <f>SUM(-C26,G12)</f>
        <v>17</v>
      </c>
      <c r="F26" s="15">
        <f>SUM(E26/G12)*100</f>
        <v>77.272727272727266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ht="12.75" customHeight="1" x14ac:dyDescent="0.35">
      <c r="A27" s="29">
        <v>11</v>
      </c>
      <c r="B27" s="31" t="s">
        <v>65</v>
      </c>
      <c r="C27" s="12">
        <v>0</v>
      </c>
      <c r="D27" s="15">
        <f>SUM(C27/G12)*100</f>
        <v>0</v>
      </c>
      <c r="E27" s="16">
        <f>SUM(-C27,G12)</f>
        <v>22</v>
      </c>
      <c r="F27" s="15">
        <f>SUM(E27/G12)*100</f>
        <v>100</v>
      </c>
      <c r="G27" s="17" t="str">
        <f t="shared" si="0"/>
        <v>_</v>
      </c>
      <c r="H27" s="17" t="str">
        <f t="shared" si="1"/>
        <v>_</v>
      </c>
      <c r="I27" s="17" t="str">
        <f t="shared" si="2"/>
        <v>/</v>
      </c>
    </row>
    <row r="28" spans="1:9" ht="22" x14ac:dyDescent="0.35">
      <c r="A28" s="29">
        <v>12</v>
      </c>
      <c r="B28" s="31" t="s">
        <v>58</v>
      </c>
      <c r="C28" s="12">
        <v>9</v>
      </c>
      <c r="D28" s="15">
        <f>SUM(C28/G12)*100</f>
        <v>40.909090909090914</v>
      </c>
      <c r="E28" s="16">
        <f>SUM(-C28,G12)</f>
        <v>13</v>
      </c>
      <c r="F28" s="15">
        <f>SUM(E28/G12)*100</f>
        <v>59.090909090909093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ht="22" x14ac:dyDescent="0.35">
      <c r="A29" s="29">
        <v>13</v>
      </c>
      <c r="B29" s="31" t="s">
        <v>59</v>
      </c>
      <c r="C29" s="12">
        <v>3</v>
      </c>
      <c r="D29" s="15">
        <f>SUM(C29/G12)*100</f>
        <v>13.636363636363635</v>
      </c>
      <c r="E29" s="16">
        <f>SUM(-C29,G12)</f>
        <v>19</v>
      </c>
      <c r="F29" s="15">
        <f>SUM(E29/G12)*100</f>
        <v>86.36363636363636</v>
      </c>
      <c r="G29" s="17" t="str">
        <f t="shared" si="0"/>
        <v>_</v>
      </c>
      <c r="H29" s="17" t="str">
        <f t="shared" si="1"/>
        <v>_</v>
      </c>
      <c r="I29" s="17" t="str">
        <f t="shared" si="2"/>
        <v>/</v>
      </c>
    </row>
    <row r="30" spans="1:9" ht="22" x14ac:dyDescent="0.35">
      <c r="A30" s="29">
        <v>14</v>
      </c>
      <c r="B30" s="31" t="s">
        <v>60</v>
      </c>
      <c r="C30" s="12">
        <v>4</v>
      </c>
      <c r="D30" s="15">
        <f>SUM(C30/G12)*100</f>
        <v>18.181818181818183</v>
      </c>
      <c r="E30" s="16">
        <f>SUM(-C30,G12)</f>
        <v>18</v>
      </c>
      <c r="F30" s="15">
        <f>SUM(E30/G12)*100</f>
        <v>81.818181818181827</v>
      </c>
      <c r="G30" s="17" t="str">
        <f t="shared" si="0"/>
        <v>_</v>
      </c>
      <c r="H30" s="17" t="str">
        <f t="shared" si="1"/>
        <v>_</v>
      </c>
      <c r="I30" s="17" t="str">
        <f t="shared" si="2"/>
        <v>/</v>
      </c>
    </row>
    <row r="31" spans="1:9" x14ac:dyDescent="0.35">
      <c r="A31" s="29">
        <v>15</v>
      </c>
      <c r="B31" s="27" t="s">
        <v>61</v>
      </c>
      <c r="C31" s="12">
        <v>1</v>
      </c>
      <c r="D31" s="15">
        <f>SUM(C31/G12)*100</f>
        <v>4.5454545454545459</v>
      </c>
      <c r="E31" s="16">
        <f>SUM(-C31,G12)</f>
        <v>21</v>
      </c>
      <c r="F31" s="15">
        <f>SUM(E31/G12)*100</f>
        <v>95.454545454545453</v>
      </c>
      <c r="G31" s="17" t="str">
        <f t="shared" si="0"/>
        <v>_</v>
      </c>
      <c r="H31" s="17" t="str">
        <f t="shared" si="1"/>
        <v>_</v>
      </c>
      <c r="I31" s="17" t="str">
        <f t="shared" si="2"/>
        <v>/</v>
      </c>
    </row>
    <row r="32" spans="1:9" x14ac:dyDescent="0.35">
      <c r="A32" s="29">
        <v>16</v>
      </c>
      <c r="B32" s="27" t="s">
        <v>62</v>
      </c>
      <c r="C32" s="12">
        <v>9</v>
      </c>
      <c r="D32" s="15">
        <f>SUM(C32/G12)*100</f>
        <v>40.909090909090914</v>
      </c>
      <c r="E32" s="16">
        <f>SUM(-C32,G12)</f>
        <v>13</v>
      </c>
      <c r="F32" s="15">
        <f>SUM(E32/G12)*100</f>
        <v>59.090909090909093</v>
      </c>
      <c r="G32" s="17" t="str">
        <f t="shared" si="0"/>
        <v>_</v>
      </c>
      <c r="H32" s="17" t="str">
        <f t="shared" si="1"/>
        <v>/</v>
      </c>
      <c r="I32" s="17" t="str">
        <f t="shared" si="2"/>
        <v>_</v>
      </c>
    </row>
    <row r="33" spans="1:9" ht="22" x14ac:dyDescent="0.35">
      <c r="A33" s="29">
        <v>17</v>
      </c>
      <c r="B33" s="31" t="s">
        <v>63</v>
      </c>
      <c r="C33" s="12">
        <v>0</v>
      </c>
      <c r="D33" s="15">
        <f>SUM(C33/G12)*100</f>
        <v>0</v>
      </c>
      <c r="E33" s="16">
        <f>SUM(-C33,G12)</f>
        <v>22</v>
      </c>
      <c r="F33" s="15">
        <f>SUM(E33/G12)*100</f>
        <v>100</v>
      </c>
      <c r="G33" s="17" t="str">
        <f t="shared" si="0"/>
        <v>_</v>
      </c>
      <c r="H33" s="17" t="str">
        <f t="shared" si="1"/>
        <v>_</v>
      </c>
      <c r="I33" s="17" t="str">
        <f t="shared" si="2"/>
        <v>/</v>
      </c>
    </row>
    <row r="34" spans="1:9" ht="22" x14ac:dyDescent="0.35">
      <c r="A34" s="29">
        <v>18</v>
      </c>
      <c r="B34" s="31" t="s">
        <v>64</v>
      </c>
      <c r="C34" s="12">
        <v>12</v>
      </c>
      <c r="D34" s="15">
        <f>SUM(C34/G12)*100</f>
        <v>54.54545454545454</v>
      </c>
      <c r="E34" s="16">
        <f>SUM(-C34,G12)</f>
        <v>10</v>
      </c>
      <c r="F34" s="15">
        <f>SUM(E34/G12)*100</f>
        <v>45.454545454545453</v>
      </c>
      <c r="G34" s="17" t="str">
        <f t="shared" si="0"/>
        <v>/</v>
      </c>
      <c r="H34" s="17" t="str">
        <f t="shared" si="1"/>
        <v>_</v>
      </c>
      <c r="I34" s="17" t="str">
        <f t="shared" si="2"/>
        <v>_</v>
      </c>
    </row>
    <row r="35" spans="1:9" ht="22" x14ac:dyDescent="0.35">
      <c r="A35" s="29">
        <v>19</v>
      </c>
      <c r="B35" s="31" t="s">
        <v>58</v>
      </c>
      <c r="C35" s="12">
        <v>16</v>
      </c>
      <c r="D35" s="15">
        <f>SUM(C35/G12)*100</f>
        <v>72.727272727272734</v>
      </c>
      <c r="E35" s="16">
        <f>SUM(-C35,G12)</f>
        <v>6</v>
      </c>
      <c r="F35" s="15">
        <f>SUM(E35/G12)*100</f>
        <v>27.27272727272727</v>
      </c>
      <c r="G35" s="17" t="str">
        <f t="shared" si="0"/>
        <v>/</v>
      </c>
      <c r="H35" s="17" t="str">
        <f t="shared" si="1"/>
        <v>_</v>
      </c>
      <c r="I35" s="17" t="str">
        <f t="shared" si="2"/>
        <v>_</v>
      </c>
    </row>
    <row r="36" spans="1:9" ht="22" x14ac:dyDescent="0.35">
      <c r="A36" s="29">
        <v>20</v>
      </c>
      <c r="B36" s="31" t="s">
        <v>59</v>
      </c>
      <c r="C36" s="12">
        <v>5</v>
      </c>
      <c r="D36" s="15">
        <f>SUM(C36/G12)*100</f>
        <v>22.727272727272727</v>
      </c>
      <c r="E36" s="16">
        <f>SUM(-C36,G12)</f>
        <v>17</v>
      </c>
      <c r="F36" s="15">
        <f>SUM(E36/G12)*100</f>
        <v>77.272727272727266</v>
      </c>
      <c r="G36" s="17" t="str">
        <f t="shared" si="0"/>
        <v>_</v>
      </c>
      <c r="H36" s="17" t="str">
        <f t="shared" si="1"/>
        <v>_</v>
      </c>
      <c r="I36" s="17" t="str">
        <f t="shared" si="2"/>
        <v>/</v>
      </c>
    </row>
    <row r="37" spans="1:9" ht="22" x14ac:dyDescent="0.35">
      <c r="A37" s="29">
        <v>21</v>
      </c>
      <c r="B37" s="31" t="s">
        <v>60</v>
      </c>
      <c r="C37" s="12">
        <v>6</v>
      </c>
      <c r="D37" s="15">
        <f>SUM(C37/G12)*100</f>
        <v>27.27272727272727</v>
      </c>
      <c r="E37" s="16">
        <f>SUM(-C37,G12)</f>
        <v>16</v>
      </c>
      <c r="F37" s="15">
        <f>SUM(E37/G12)*100</f>
        <v>72.727272727272734</v>
      </c>
      <c r="G37" s="17" t="str">
        <f t="shared" si="0"/>
        <v>_</v>
      </c>
      <c r="H37" s="17" t="str">
        <f t="shared" si="1"/>
        <v>/</v>
      </c>
      <c r="I37" s="17" t="str">
        <f t="shared" si="2"/>
        <v>_</v>
      </c>
    </row>
    <row r="38" spans="1:9" ht="14.25" customHeight="1" x14ac:dyDescent="0.35">
      <c r="A38" s="30">
        <v>22</v>
      </c>
      <c r="B38" s="31" t="s">
        <v>65</v>
      </c>
      <c r="C38" s="12">
        <v>8</v>
      </c>
      <c r="D38" s="15">
        <f>SUM(C38/G12)*100</f>
        <v>36.363636363636367</v>
      </c>
      <c r="E38" s="16">
        <f>SUM(-C38,G12)</f>
        <v>14</v>
      </c>
      <c r="F38" s="15">
        <f>SUM(E38/G12)*100</f>
        <v>63.636363636363633</v>
      </c>
      <c r="G38" s="17" t="str">
        <f t="shared" si="0"/>
        <v>_</v>
      </c>
      <c r="H38" s="17" t="str">
        <f t="shared" si="1"/>
        <v>/</v>
      </c>
      <c r="I38" s="17" t="str">
        <f t="shared" si="2"/>
        <v>_</v>
      </c>
    </row>
    <row r="39" spans="1:9" ht="22" x14ac:dyDescent="0.35">
      <c r="A39" s="30">
        <v>23</v>
      </c>
      <c r="B39" s="31" t="s">
        <v>58</v>
      </c>
      <c r="C39" s="12">
        <v>2</v>
      </c>
      <c r="D39" s="15">
        <f>SUM(C39/G12)*100</f>
        <v>9.0909090909090917</v>
      </c>
      <c r="E39" s="16">
        <f>SUM(-C39,G12)</f>
        <v>20</v>
      </c>
      <c r="F39" s="15">
        <f>SUM(E39/G12)*100</f>
        <v>90.909090909090907</v>
      </c>
      <c r="G39" s="17" t="str">
        <f t="shared" si="0"/>
        <v>_</v>
      </c>
      <c r="H39" s="17" t="str">
        <f t="shared" si="1"/>
        <v>_</v>
      </c>
      <c r="I39" s="17" t="str">
        <f t="shared" si="2"/>
        <v>/</v>
      </c>
    </row>
    <row r="40" spans="1:9" ht="22" x14ac:dyDescent="0.35">
      <c r="A40" s="30">
        <v>24</v>
      </c>
      <c r="B40" s="31" t="s">
        <v>59</v>
      </c>
      <c r="C40" s="12">
        <v>9</v>
      </c>
      <c r="D40" s="15">
        <f>SUM(C40/G12)*100</f>
        <v>40.909090909090914</v>
      </c>
      <c r="E40" s="16">
        <f>SUM(-C40,G12)</f>
        <v>13</v>
      </c>
      <c r="F40" s="15">
        <f>SUM(E40/G12)*100</f>
        <v>59.090909090909093</v>
      </c>
      <c r="G40" s="17" t="str">
        <f t="shared" si="0"/>
        <v>_</v>
      </c>
      <c r="H40" s="17" t="str">
        <f t="shared" si="1"/>
        <v>/</v>
      </c>
      <c r="I40" s="17" t="str">
        <f t="shared" si="2"/>
        <v>_</v>
      </c>
    </row>
    <row r="41" spans="1:9" ht="22" x14ac:dyDescent="0.35">
      <c r="A41" s="30">
        <v>25</v>
      </c>
      <c r="B41" s="31" t="s">
        <v>60</v>
      </c>
      <c r="C41" s="12">
        <v>11</v>
      </c>
      <c r="D41" s="15">
        <f>SUM(C41/G12)*100</f>
        <v>50</v>
      </c>
      <c r="E41" s="16">
        <f>SUM(-C41,G12)</f>
        <v>11</v>
      </c>
      <c r="F41" s="15">
        <f>SUM(E41/G12)*100</f>
        <v>50</v>
      </c>
      <c r="G41" s="17" t="str">
        <f t="shared" si="0"/>
        <v>/</v>
      </c>
      <c r="H41" s="17" t="str">
        <f t="shared" si="1"/>
        <v>_</v>
      </c>
      <c r="I41" s="17" t="str">
        <f t="shared" si="2"/>
        <v>_</v>
      </c>
    </row>
    <row r="42" spans="1:9" x14ac:dyDescent="0.35">
      <c r="A42" s="30">
        <v>26</v>
      </c>
      <c r="B42" s="27" t="s">
        <v>61</v>
      </c>
      <c r="C42" s="12">
        <v>18</v>
      </c>
      <c r="D42" s="15">
        <f>SUM(C42/G12)*100</f>
        <v>81.818181818181827</v>
      </c>
      <c r="E42" s="16">
        <f>SUM(-C42,G12)</f>
        <v>4</v>
      </c>
      <c r="F42" s="15">
        <f>SUM(E42/G12)*100</f>
        <v>18.181818181818183</v>
      </c>
      <c r="G42" s="17" t="str">
        <f t="shared" si="0"/>
        <v>/</v>
      </c>
      <c r="H42" s="17" t="str">
        <f t="shared" si="1"/>
        <v>_</v>
      </c>
      <c r="I42" s="17" t="str">
        <f t="shared" si="2"/>
        <v>_</v>
      </c>
    </row>
    <row r="43" spans="1:9" x14ac:dyDescent="0.35">
      <c r="A43" s="30">
        <v>27</v>
      </c>
      <c r="B43" s="27" t="s">
        <v>62</v>
      </c>
      <c r="C43" s="12">
        <v>2</v>
      </c>
      <c r="D43" s="15">
        <f>SUM(C43/G12)*100</f>
        <v>9.0909090909090917</v>
      </c>
      <c r="E43" s="16">
        <f>SUM(-C43,G12)</f>
        <v>20</v>
      </c>
      <c r="F43" s="15">
        <f>SUM(E43/G12)*100</f>
        <v>90.909090909090907</v>
      </c>
      <c r="G43" s="17" t="str">
        <f t="shared" si="0"/>
        <v>_</v>
      </c>
      <c r="H43" s="17" t="str">
        <f t="shared" si="1"/>
        <v>_</v>
      </c>
      <c r="I43" s="17" t="str">
        <f t="shared" si="2"/>
        <v>/</v>
      </c>
    </row>
    <row r="44" spans="1:9" ht="22" x14ac:dyDescent="0.35">
      <c r="A44" s="30">
        <v>28</v>
      </c>
      <c r="B44" s="31" t="s">
        <v>63</v>
      </c>
      <c r="C44" s="12">
        <v>5</v>
      </c>
      <c r="D44" s="15">
        <f>SUM(C44/G12)*100</f>
        <v>22.727272727272727</v>
      </c>
      <c r="E44" s="16">
        <f>SUM(-C44,G12)</f>
        <v>17</v>
      </c>
      <c r="F44" s="15">
        <f>SUM(E44/G12)*100</f>
        <v>77.272727272727266</v>
      </c>
      <c r="G44" s="17" t="str">
        <f t="shared" si="0"/>
        <v>_</v>
      </c>
      <c r="H44" s="17" t="str">
        <f t="shared" si="1"/>
        <v>_</v>
      </c>
      <c r="I44" s="17" t="str">
        <f t="shared" si="2"/>
        <v>/</v>
      </c>
    </row>
    <row r="45" spans="1:9" ht="22" x14ac:dyDescent="0.35">
      <c r="A45" s="30">
        <v>29</v>
      </c>
      <c r="B45" s="31" t="s">
        <v>64</v>
      </c>
      <c r="C45" s="12">
        <v>8</v>
      </c>
      <c r="D45" s="15">
        <f>SUM(C45/G12)*100</f>
        <v>36.363636363636367</v>
      </c>
      <c r="E45" s="16">
        <f>SUM(-C45,G12)</f>
        <v>14</v>
      </c>
      <c r="F45" s="15">
        <f>SUM(E45/G12)*100</f>
        <v>63.636363636363633</v>
      </c>
      <c r="G45" s="17" t="str">
        <f t="shared" si="0"/>
        <v>_</v>
      </c>
      <c r="H45" s="17" t="str">
        <f t="shared" si="1"/>
        <v>/</v>
      </c>
      <c r="I45" s="17" t="str">
        <f t="shared" si="2"/>
        <v>_</v>
      </c>
    </row>
    <row r="46" spans="1:9" ht="22" x14ac:dyDescent="0.35">
      <c r="A46" s="30">
        <v>30</v>
      </c>
      <c r="B46" s="31" t="s">
        <v>58</v>
      </c>
      <c r="C46" s="12">
        <v>4</v>
      </c>
      <c r="D46" s="15">
        <f>SUM(C46/G12)*100</f>
        <v>18.181818181818183</v>
      </c>
      <c r="E46" s="16">
        <f>SUM(-C46,G12)</f>
        <v>18</v>
      </c>
      <c r="F46" s="15">
        <f>SUM(E46/G12)*100</f>
        <v>81.818181818181827</v>
      </c>
      <c r="G46" s="17" t="str">
        <f t="shared" si="0"/>
        <v>_</v>
      </c>
      <c r="H46" s="17" t="str">
        <f t="shared" si="1"/>
        <v>_</v>
      </c>
      <c r="I46" s="17" t="str">
        <f t="shared" si="2"/>
        <v>/</v>
      </c>
    </row>
    <row r="47" spans="1:9" ht="22" x14ac:dyDescent="0.35">
      <c r="A47" s="30">
        <v>31</v>
      </c>
      <c r="B47" s="31" t="s">
        <v>59</v>
      </c>
      <c r="C47" s="12">
        <v>8</v>
      </c>
      <c r="D47" s="15">
        <f>SUM(C47/G12)*100</f>
        <v>36.363636363636367</v>
      </c>
      <c r="E47" s="16">
        <f>SUM(-C47,G12)</f>
        <v>14</v>
      </c>
      <c r="F47" s="15">
        <f>SUM(E47/G12)*100</f>
        <v>63.636363636363633</v>
      </c>
      <c r="G47" s="17" t="str">
        <f t="shared" si="0"/>
        <v>_</v>
      </c>
      <c r="H47" s="17" t="str">
        <f t="shared" si="1"/>
        <v>/</v>
      </c>
      <c r="I47" s="17" t="str">
        <f t="shared" si="2"/>
        <v>_</v>
      </c>
    </row>
    <row r="48" spans="1:9" ht="22" x14ac:dyDescent="0.35">
      <c r="A48" s="30">
        <v>32</v>
      </c>
      <c r="B48" s="31" t="s">
        <v>60</v>
      </c>
      <c r="C48" s="12">
        <v>5</v>
      </c>
      <c r="D48" s="15">
        <f>SUM(C48/G12)*100</f>
        <v>22.727272727272727</v>
      </c>
      <c r="E48" s="16">
        <f>SUM(-C48,G12)</f>
        <v>17</v>
      </c>
      <c r="F48" s="15">
        <f>SUM(E48/G12)*100</f>
        <v>77.272727272727266</v>
      </c>
      <c r="G48" s="17" t="str">
        <f t="shared" si="0"/>
        <v>_</v>
      </c>
      <c r="H48" s="17" t="str">
        <f t="shared" si="1"/>
        <v>_</v>
      </c>
      <c r="I48" s="17" t="str">
        <f t="shared" si="2"/>
        <v>/</v>
      </c>
    </row>
    <row r="49" spans="1:9" ht="15.75" customHeight="1" x14ac:dyDescent="0.35">
      <c r="A49" s="30">
        <v>33</v>
      </c>
      <c r="B49" s="31" t="s">
        <v>65</v>
      </c>
      <c r="C49" s="12">
        <v>6</v>
      </c>
      <c r="D49" s="15">
        <f>SUM(C49/G12)*100</f>
        <v>27.27272727272727</v>
      </c>
      <c r="E49" s="16">
        <f>SUM(-C49,G12)</f>
        <v>16</v>
      </c>
      <c r="F49" s="15">
        <f>SUM(E49/G12)*100</f>
        <v>72.727272727272734</v>
      </c>
      <c r="G49" s="17" t="str">
        <f t="shared" si="0"/>
        <v>_</v>
      </c>
      <c r="H49" s="17" t="str">
        <f t="shared" si="1"/>
        <v>/</v>
      </c>
      <c r="I49" s="17" t="str">
        <f t="shared" si="2"/>
        <v>_</v>
      </c>
    </row>
    <row r="50" spans="1:9" ht="22" x14ac:dyDescent="0.35">
      <c r="A50" s="30">
        <v>34</v>
      </c>
      <c r="B50" s="31" t="s">
        <v>58</v>
      </c>
      <c r="C50" s="12">
        <v>10</v>
      </c>
      <c r="D50" s="15">
        <f>SUM(C50/G12)*100</f>
        <v>45.454545454545453</v>
      </c>
      <c r="E50" s="16">
        <f>SUM(-C50,G12)</f>
        <v>12</v>
      </c>
      <c r="F50" s="15">
        <f>SUM(E50/G12)*100</f>
        <v>54.54545454545454</v>
      </c>
      <c r="G50" s="17" t="str">
        <f t="shared" si="0"/>
        <v>_</v>
      </c>
      <c r="H50" s="17" t="str">
        <f t="shared" si="1"/>
        <v>/</v>
      </c>
      <c r="I50" s="17" t="str">
        <f t="shared" si="2"/>
        <v>_</v>
      </c>
    </row>
    <row r="51" spans="1:9" ht="22" x14ac:dyDescent="0.35">
      <c r="A51" s="30">
        <v>35</v>
      </c>
      <c r="B51" s="31" t="s">
        <v>59</v>
      </c>
      <c r="C51" s="12">
        <v>9</v>
      </c>
      <c r="D51" s="15">
        <f>SUM(C51/G12)*100</f>
        <v>40.909090909090914</v>
      </c>
      <c r="E51" s="16">
        <f>SUM(-C51,G12)</f>
        <v>13</v>
      </c>
      <c r="F51" s="15">
        <f>SUM(E51/G12)*100</f>
        <v>59.090909090909093</v>
      </c>
      <c r="G51" s="17" t="str">
        <f t="shared" si="0"/>
        <v>_</v>
      </c>
      <c r="H51" s="17" t="str">
        <f t="shared" si="1"/>
        <v>/</v>
      </c>
      <c r="I51" s="17" t="str">
        <f t="shared" si="2"/>
        <v>_</v>
      </c>
    </row>
    <row r="52" spans="1:9" ht="22" x14ac:dyDescent="0.35">
      <c r="A52" s="30">
        <v>36</v>
      </c>
      <c r="B52" s="31" t="s">
        <v>60</v>
      </c>
      <c r="C52" s="12">
        <v>5</v>
      </c>
      <c r="D52" s="15">
        <f>SUM(C52/G12)*100</f>
        <v>22.727272727272727</v>
      </c>
      <c r="E52" s="16">
        <f>SUM(-C52,G12)</f>
        <v>17</v>
      </c>
      <c r="F52" s="15">
        <f>SUM(E52/G12)*100</f>
        <v>77.272727272727266</v>
      </c>
      <c r="G52" s="17" t="str">
        <f t="shared" si="0"/>
        <v>_</v>
      </c>
      <c r="H52" s="17" t="str">
        <f t="shared" si="1"/>
        <v>_</v>
      </c>
      <c r="I52" s="17" t="str">
        <f t="shared" si="2"/>
        <v>/</v>
      </c>
    </row>
    <row r="53" spans="1:9" x14ac:dyDescent="0.35">
      <c r="A53" s="30">
        <v>37</v>
      </c>
      <c r="B53" s="27" t="s">
        <v>61</v>
      </c>
      <c r="C53" s="12">
        <v>4</v>
      </c>
      <c r="D53" s="15">
        <f>SUM(C53/G12)*100</f>
        <v>18.181818181818183</v>
      </c>
      <c r="E53" s="16">
        <f>SUM(-C53,G12)</f>
        <v>18</v>
      </c>
      <c r="F53" s="15">
        <f>SUM(E53/G12)*100</f>
        <v>81.818181818181827</v>
      </c>
      <c r="G53" s="17" t="str">
        <f t="shared" si="0"/>
        <v>_</v>
      </c>
      <c r="H53" s="17" t="str">
        <f t="shared" si="1"/>
        <v>_</v>
      </c>
      <c r="I53" s="17" t="str">
        <f t="shared" si="2"/>
        <v>/</v>
      </c>
    </row>
    <row r="54" spans="1:9" x14ac:dyDescent="0.35">
      <c r="A54" s="30">
        <v>38</v>
      </c>
      <c r="B54" s="27" t="s">
        <v>62</v>
      </c>
      <c r="C54" s="12">
        <v>9</v>
      </c>
      <c r="D54" s="15">
        <f>SUM(C54/G12)*100</f>
        <v>40.909090909090914</v>
      </c>
      <c r="E54" s="16">
        <f>SUM(-C54,G12)</f>
        <v>13</v>
      </c>
      <c r="F54" s="15">
        <f>SUM(E54/G12)*100</f>
        <v>59.090909090909093</v>
      </c>
      <c r="G54" s="17" t="str">
        <f t="shared" si="0"/>
        <v>_</v>
      </c>
      <c r="H54" s="17" t="str">
        <f t="shared" si="1"/>
        <v>/</v>
      </c>
      <c r="I54" s="17" t="str">
        <f t="shared" si="2"/>
        <v>_</v>
      </c>
    </row>
    <row r="55" spans="1:9" ht="22" x14ac:dyDescent="0.35">
      <c r="A55" s="30">
        <v>39</v>
      </c>
      <c r="B55" s="31" t="s">
        <v>63</v>
      </c>
      <c r="C55" s="12">
        <v>4</v>
      </c>
      <c r="D55" s="15">
        <f>SUM(C55/G12)*100</f>
        <v>18.181818181818183</v>
      </c>
      <c r="E55" s="16">
        <f>SUM(-C55,G12)</f>
        <v>18</v>
      </c>
      <c r="F55" s="15">
        <f>SUM(E55/G12)*100</f>
        <v>81.818181818181827</v>
      </c>
      <c r="G55" s="17" t="str">
        <f t="shared" si="0"/>
        <v>_</v>
      </c>
      <c r="H55" s="17" t="str">
        <f t="shared" si="1"/>
        <v>_</v>
      </c>
      <c r="I55" s="17" t="str">
        <f t="shared" si="2"/>
        <v>/</v>
      </c>
    </row>
    <row r="56" spans="1:9" ht="22" x14ac:dyDescent="0.35">
      <c r="A56" s="30">
        <v>40</v>
      </c>
      <c r="B56" s="31" t="s">
        <v>64</v>
      </c>
      <c r="C56" s="12">
        <v>6</v>
      </c>
      <c r="D56" s="15">
        <f>SUM(C56/G12)*100</f>
        <v>27.27272727272727</v>
      </c>
      <c r="E56" s="16">
        <f>SUM(-C56,G12)</f>
        <v>16</v>
      </c>
      <c r="F56" s="15">
        <f>SUM(E56/G12)*100</f>
        <v>72.727272727272734</v>
      </c>
      <c r="G56" s="17" t="str">
        <f t="shared" si="0"/>
        <v>_</v>
      </c>
      <c r="H56" s="17" t="str">
        <f t="shared" si="1"/>
        <v>/</v>
      </c>
      <c r="I56" s="17" t="str">
        <f t="shared" si="2"/>
        <v>_</v>
      </c>
    </row>
    <row r="57" spans="1:9" ht="22" x14ac:dyDescent="0.35">
      <c r="A57" s="30">
        <v>41</v>
      </c>
      <c r="B57" s="31" t="s">
        <v>58</v>
      </c>
      <c r="C57" s="12">
        <v>3</v>
      </c>
      <c r="D57" s="15">
        <f>SUM(C57/G12)*100</f>
        <v>13.636363636363635</v>
      </c>
      <c r="E57" s="16">
        <f>SUM(-C57,G12)</f>
        <v>19</v>
      </c>
      <c r="F57" s="15">
        <f>SUM(E57/G12)*100</f>
        <v>86.36363636363636</v>
      </c>
      <c r="G57" s="17" t="str">
        <f t="shared" si="0"/>
        <v>_</v>
      </c>
      <c r="H57" s="17" t="str">
        <f t="shared" si="1"/>
        <v>_</v>
      </c>
      <c r="I57" s="17" t="str">
        <f t="shared" si="2"/>
        <v>/</v>
      </c>
    </row>
    <row r="58" spans="1:9" ht="22" x14ac:dyDescent="0.35">
      <c r="A58" s="30">
        <v>42</v>
      </c>
      <c r="B58" s="31" t="s">
        <v>59</v>
      </c>
      <c r="C58" s="12">
        <v>11</v>
      </c>
      <c r="D58" s="15">
        <f>SUM(C58/G12)*100</f>
        <v>50</v>
      </c>
      <c r="E58" s="16">
        <f>SUM(-C58,G12)</f>
        <v>11</v>
      </c>
      <c r="F58" s="15">
        <f>SUM(E58/G12)*100</f>
        <v>50</v>
      </c>
      <c r="G58" s="17" t="str">
        <f t="shared" si="0"/>
        <v>/</v>
      </c>
      <c r="H58" s="17" t="str">
        <f t="shared" si="1"/>
        <v>_</v>
      </c>
      <c r="I58" s="17" t="str">
        <f t="shared" si="2"/>
        <v>_</v>
      </c>
    </row>
    <row r="59" spans="1:9" ht="22" x14ac:dyDescent="0.35">
      <c r="A59" s="30">
        <v>43</v>
      </c>
      <c r="B59" s="31" t="s">
        <v>60</v>
      </c>
      <c r="C59" s="12">
        <v>7</v>
      </c>
      <c r="D59" s="15">
        <f>SUM(C59/G12)*100</f>
        <v>31.818181818181817</v>
      </c>
      <c r="E59" s="16">
        <f>SUM(-C59,G12)</f>
        <v>15</v>
      </c>
      <c r="F59" s="15">
        <f>SUM(E59/G12)*100</f>
        <v>68.181818181818173</v>
      </c>
      <c r="G59" s="17" t="str">
        <f t="shared" si="0"/>
        <v>_</v>
      </c>
      <c r="H59" s="17" t="str">
        <f t="shared" si="1"/>
        <v>/</v>
      </c>
      <c r="I59" s="17" t="str">
        <f t="shared" si="2"/>
        <v>_</v>
      </c>
    </row>
    <row r="60" spans="1:9" ht="14.25" customHeight="1" x14ac:dyDescent="0.35">
      <c r="A60" s="30">
        <v>44</v>
      </c>
      <c r="B60" s="31" t="s">
        <v>65</v>
      </c>
      <c r="C60" s="12">
        <v>3</v>
      </c>
      <c r="D60" s="15">
        <f>SUM(C60/G12)*100</f>
        <v>13.636363636363635</v>
      </c>
      <c r="E60" s="16">
        <f>SUM(-C60,G12)</f>
        <v>19</v>
      </c>
      <c r="F60" s="15">
        <f>SUM(E60/G12)*100</f>
        <v>86.36363636363636</v>
      </c>
      <c r="G60" s="17" t="str">
        <f t="shared" si="0"/>
        <v>_</v>
      </c>
      <c r="H60" s="17" t="str">
        <f t="shared" si="1"/>
        <v>_</v>
      </c>
      <c r="I60" s="17" t="str">
        <f t="shared" si="2"/>
        <v>/</v>
      </c>
    </row>
    <row r="61" spans="1:9" ht="22" x14ac:dyDescent="0.35">
      <c r="A61" s="30">
        <v>45</v>
      </c>
      <c r="B61" s="31" t="s">
        <v>58</v>
      </c>
      <c r="C61" s="12">
        <v>9</v>
      </c>
      <c r="D61" s="15">
        <f>SUM(C61/G12)*100</f>
        <v>40.909090909090914</v>
      </c>
      <c r="E61" s="16">
        <f>SUM(-C61,G12)</f>
        <v>13</v>
      </c>
      <c r="F61" s="15">
        <f>SUM(E61/G12)*100</f>
        <v>59.090909090909093</v>
      </c>
      <c r="G61" s="17" t="str">
        <f t="shared" si="0"/>
        <v>_</v>
      </c>
      <c r="H61" s="17" t="str">
        <f t="shared" si="1"/>
        <v>/</v>
      </c>
      <c r="I61" s="17" t="str">
        <f t="shared" si="2"/>
        <v>_</v>
      </c>
    </row>
    <row r="62" spans="1:9" ht="22" x14ac:dyDescent="0.35">
      <c r="A62" s="30">
        <v>46</v>
      </c>
      <c r="B62" s="31" t="s">
        <v>59</v>
      </c>
      <c r="C62" s="12">
        <v>10</v>
      </c>
      <c r="D62" s="15">
        <f>SUM(C62/G12)*100</f>
        <v>45.454545454545453</v>
      </c>
      <c r="E62" s="16">
        <f>SUM(-C62,G12)</f>
        <v>12</v>
      </c>
      <c r="F62" s="15">
        <f>SUM(E62/G12)*100</f>
        <v>54.54545454545454</v>
      </c>
      <c r="G62" s="17" t="str">
        <f t="shared" si="0"/>
        <v>_</v>
      </c>
      <c r="H62" s="17" t="str">
        <f t="shared" si="1"/>
        <v>/</v>
      </c>
      <c r="I62" s="17" t="str">
        <f t="shared" si="2"/>
        <v>_</v>
      </c>
    </row>
    <row r="63" spans="1:9" ht="22" x14ac:dyDescent="0.35">
      <c r="A63" s="30">
        <v>47</v>
      </c>
      <c r="B63" s="31" t="s">
        <v>60</v>
      </c>
      <c r="C63" s="12">
        <v>6</v>
      </c>
      <c r="D63" s="15">
        <f>SUM(C63/G12)*100</f>
        <v>27.27272727272727</v>
      </c>
      <c r="E63" s="16">
        <f>SUM(-C63,G12)</f>
        <v>16</v>
      </c>
      <c r="F63" s="15">
        <f>SUM(E63/G12)*100</f>
        <v>72.727272727272734</v>
      </c>
      <c r="G63" s="17" t="str">
        <f t="shared" si="0"/>
        <v>_</v>
      </c>
      <c r="H63" s="17" t="str">
        <f t="shared" si="1"/>
        <v>/</v>
      </c>
      <c r="I63" s="17" t="str">
        <f t="shared" si="2"/>
        <v>_</v>
      </c>
    </row>
    <row r="64" spans="1:9" x14ac:dyDescent="0.35">
      <c r="A64" s="30">
        <v>48</v>
      </c>
      <c r="B64" s="27" t="s">
        <v>61</v>
      </c>
      <c r="C64" s="12">
        <v>13</v>
      </c>
      <c r="D64" s="15">
        <f>SUM(C64/G12)*100</f>
        <v>59.090909090909093</v>
      </c>
      <c r="E64" s="16">
        <f>SUM(-C64,G12)</f>
        <v>9</v>
      </c>
      <c r="F64" s="15">
        <f>SUM(E64/G12)*100</f>
        <v>40.909090909090914</v>
      </c>
      <c r="G64" s="17" t="str">
        <f t="shared" si="0"/>
        <v>/</v>
      </c>
      <c r="H64" s="17" t="str">
        <f t="shared" si="1"/>
        <v>_</v>
      </c>
      <c r="I64" s="17" t="str">
        <f t="shared" si="2"/>
        <v>_</v>
      </c>
    </row>
    <row r="65" spans="1:9" x14ac:dyDescent="0.35">
      <c r="A65" s="30">
        <v>49</v>
      </c>
      <c r="B65" s="27" t="s">
        <v>62</v>
      </c>
      <c r="C65" s="12">
        <v>5</v>
      </c>
      <c r="D65" s="15">
        <f>SUM(C65/G12)*100</f>
        <v>22.727272727272727</v>
      </c>
      <c r="E65" s="16">
        <f>SUM(-C65,G12)</f>
        <v>17</v>
      </c>
      <c r="F65" s="15">
        <f>SUM(E65/G12)*100</f>
        <v>77.272727272727266</v>
      </c>
      <c r="G65" s="17" t="str">
        <f t="shared" si="0"/>
        <v>_</v>
      </c>
      <c r="H65" s="17" t="str">
        <f t="shared" si="1"/>
        <v>_</v>
      </c>
      <c r="I65" s="17" t="str">
        <f t="shared" si="2"/>
        <v>/</v>
      </c>
    </row>
    <row r="66" spans="1:9" ht="22" x14ac:dyDescent="0.35">
      <c r="A66" s="30">
        <v>50</v>
      </c>
      <c r="B66" s="31" t="s">
        <v>63</v>
      </c>
      <c r="C66" s="12">
        <v>8</v>
      </c>
      <c r="D66" s="15">
        <f>SUM(C66/G12)*100</f>
        <v>36.363636363636367</v>
      </c>
      <c r="E66" s="16">
        <f>SUM(-C66,G12)</f>
        <v>14</v>
      </c>
      <c r="F66" s="15">
        <f>SUM(E66/G12)*100</f>
        <v>63.636363636363633</v>
      </c>
      <c r="G66" s="17" t="str">
        <f t="shared" si="0"/>
        <v>_</v>
      </c>
      <c r="H66" s="17" t="str">
        <f t="shared" si="1"/>
        <v>/</v>
      </c>
      <c r="I66" s="17" t="str">
        <f t="shared" si="2"/>
        <v>_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1" t="s">
        <v>13</v>
      </c>
      <c r="E68" s="61"/>
      <c r="F68" s="61"/>
    </row>
    <row r="69" spans="1:9" ht="15.5" x14ac:dyDescent="0.35">
      <c r="F69" s="62" t="s">
        <v>68</v>
      </c>
      <c r="G69" s="63"/>
      <c r="H69" s="63"/>
    </row>
    <row r="70" spans="1:9" x14ac:dyDescent="0.35">
      <c r="F70" s="34" t="s">
        <v>26</v>
      </c>
      <c r="G70" s="34"/>
      <c r="H70" s="34"/>
    </row>
    <row r="71" spans="1:9" x14ac:dyDescent="0.35">
      <c r="B71" s="1" t="s">
        <v>40</v>
      </c>
    </row>
    <row r="72" spans="1:9" x14ac:dyDescent="0.35">
      <c r="B72" s="25" t="s">
        <v>69</v>
      </c>
    </row>
    <row r="73" spans="1:9" x14ac:dyDescent="0.35">
      <c r="B73" s="24" t="s">
        <v>70</v>
      </c>
    </row>
  </sheetData>
  <mergeCells count="22">
    <mergeCell ref="F70:H70"/>
    <mergeCell ref="A9:I9"/>
    <mergeCell ref="A10:I10"/>
    <mergeCell ref="C12:F12"/>
    <mergeCell ref="C13:F13"/>
    <mergeCell ref="A14:A16"/>
    <mergeCell ref="B14:B16"/>
    <mergeCell ref="C14:C16"/>
    <mergeCell ref="D14:D16"/>
    <mergeCell ref="E14:E16"/>
    <mergeCell ref="F14:F16"/>
    <mergeCell ref="G14:I14"/>
    <mergeCell ref="A67:B67"/>
    <mergeCell ref="D67:F67"/>
    <mergeCell ref="D68:F68"/>
    <mergeCell ref="F69:H69"/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zoomScale="130" zoomScaleNormal="130" workbookViewId="0">
      <selection activeCell="N27" sqref="N27"/>
    </sheetView>
  </sheetViews>
  <sheetFormatPr defaultColWidth="9.1796875" defaultRowHeight="14.5" x14ac:dyDescent="0.35"/>
  <cols>
    <col min="1" max="1" width="3.26953125" style="1" customWidth="1"/>
    <col min="2" max="2" width="44.54296875" style="1" customWidth="1"/>
    <col min="3" max="3" width="6.7265625" style="1" customWidth="1"/>
    <col min="4" max="4" width="3.7265625" style="1" customWidth="1"/>
    <col min="5" max="5" width="6.453125" style="1" customWidth="1"/>
    <col min="6" max="6" width="3.7265625" style="1" customWidth="1"/>
    <col min="7" max="7" width="7.26953125" style="1" customWidth="1"/>
    <col min="8" max="8" width="7.726562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67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35">
      <c r="A8" s="25"/>
      <c r="B8" s="25"/>
      <c r="C8" s="25"/>
      <c r="D8" s="25"/>
      <c r="E8" s="25"/>
      <c r="F8" s="25"/>
      <c r="G8" s="25"/>
      <c r="H8" s="25"/>
      <c r="I8" s="25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42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35">
      <c r="A12" s="4"/>
      <c r="B12" s="4" t="s">
        <v>71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39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40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41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x14ac:dyDescent="0.35">
      <c r="A17" s="28">
        <v>1</v>
      </c>
      <c r="B17" s="27" t="s">
        <v>43</v>
      </c>
      <c r="C17" s="12">
        <v>3</v>
      </c>
      <c r="D17" s="15">
        <f>SUM(C17/G12)*100</f>
        <v>13.636363636363635</v>
      </c>
      <c r="E17" s="16">
        <f>SUM(-C17,G12)</f>
        <v>19</v>
      </c>
      <c r="F17" s="15">
        <f>SUM(E17/G12)*100</f>
        <v>86.36363636363636</v>
      </c>
      <c r="G17" s="17" t="str">
        <f>IF(F17&gt;=75,"_",IF(F17&gt;=51,"_",IF(F17&gt;=1,"/")))</f>
        <v>_</v>
      </c>
      <c r="H17" s="17" t="str">
        <f>IF(F17&gt;=75,"_",IF(F17&gt;=51,"/",IF(F17&gt;=1,"_")))</f>
        <v>_</v>
      </c>
      <c r="I17" s="17" t="str">
        <f>IF(F17&gt;=75,"/",IF(F17&gt;=51,"_",IF(F17&gt;=1,"_")))</f>
        <v>/</v>
      </c>
    </row>
    <row r="18" spans="1:9" x14ac:dyDescent="0.35">
      <c r="A18" s="29">
        <v>2</v>
      </c>
      <c r="B18" s="27" t="s">
        <v>44</v>
      </c>
      <c r="C18" s="12">
        <v>10</v>
      </c>
      <c r="D18" s="15">
        <f>SUM(C18/G12)*100</f>
        <v>45.454545454545453</v>
      </c>
      <c r="E18" s="16">
        <f>SUM(-C18,G12)</f>
        <v>12</v>
      </c>
      <c r="F18" s="15">
        <f>SUM(E18/G12)*100</f>
        <v>54.54545454545454</v>
      </c>
      <c r="G18" s="17" t="str">
        <f t="shared" ref="G18:G66" si="0">IF(F18&gt;=75,"_",IF(F18&gt;=51,"_",IF(F18&gt;=1,"/")))</f>
        <v>_</v>
      </c>
      <c r="H18" s="17" t="str">
        <f t="shared" ref="H18:H66" si="1">IF(F18&gt;=75,"_",IF(F18&gt;=51,"/",IF(F18&gt;=1,"_")))</f>
        <v>/</v>
      </c>
      <c r="I18" s="17" t="str">
        <f t="shared" ref="I18:I66" si="2">IF(F18&gt;=75,"/",IF(F18&gt;=51,"_",IF(F18&gt;=1,"_")))</f>
        <v>_</v>
      </c>
    </row>
    <row r="19" spans="1:9" x14ac:dyDescent="0.35">
      <c r="A19" s="29">
        <v>3</v>
      </c>
      <c r="B19" s="27" t="s">
        <v>45</v>
      </c>
      <c r="C19" s="12">
        <v>6</v>
      </c>
      <c r="D19" s="15">
        <f>SUM(C19/G12)*100</f>
        <v>27.27272727272727</v>
      </c>
      <c r="E19" s="16">
        <f>SUM(-C19,G12)</f>
        <v>16</v>
      </c>
      <c r="F19" s="15">
        <f>SUM(E19/G12)*100</f>
        <v>72.727272727272734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29">
        <v>4</v>
      </c>
      <c r="B20" s="27" t="s">
        <v>46</v>
      </c>
      <c r="C20" s="12">
        <v>4</v>
      </c>
      <c r="D20" s="15">
        <f>SUM(C20/G12)*100</f>
        <v>18.181818181818183</v>
      </c>
      <c r="E20" s="16">
        <f>SUM(-C20,G12)</f>
        <v>18</v>
      </c>
      <c r="F20" s="15">
        <f>SUM(E20/G12)*100</f>
        <v>81.818181818181827</v>
      </c>
      <c r="G20" s="17" t="str">
        <f t="shared" si="0"/>
        <v>_</v>
      </c>
      <c r="H20" s="17" t="str">
        <f t="shared" si="1"/>
        <v>_</v>
      </c>
      <c r="I20" s="17" t="str">
        <f t="shared" si="2"/>
        <v>/</v>
      </c>
    </row>
    <row r="21" spans="1:9" x14ac:dyDescent="0.35">
      <c r="A21" s="29">
        <v>5</v>
      </c>
      <c r="B21" s="27" t="s">
        <v>48</v>
      </c>
      <c r="C21" s="12">
        <v>9</v>
      </c>
      <c r="D21" s="15">
        <f>SUM(C21/G12)*100</f>
        <v>40.909090909090914</v>
      </c>
      <c r="E21" s="16">
        <f>SUM(-C21,G12)</f>
        <v>13</v>
      </c>
      <c r="F21" s="15">
        <f>SUM(E21/G12)*100</f>
        <v>59.090909090909093</v>
      </c>
      <c r="G21" s="17" t="str">
        <f t="shared" si="0"/>
        <v>_</v>
      </c>
      <c r="H21" s="17" t="str">
        <f t="shared" si="1"/>
        <v>/</v>
      </c>
      <c r="I21" s="17" t="str">
        <f t="shared" si="2"/>
        <v>_</v>
      </c>
    </row>
    <row r="22" spans="1:9" x14ac:dyDescent="0.35">
      <c r="A22" s="29">
        <v>6</v>
      </c>
      <c r="B22" s="27" t="s">
        <v>47</v>
      </c>
      <c r="C22" s="12">
        <v>7</v>
      </c>
      <c r="D22" s="15">
        <f>SUM(C22/G12)*100</f>
        <v>31.818181818181817</v>
      </c>
      <c r="E22" s="16">
        <f>SUM(-C22,G12)</f>
        <v>15</v>
      </c>
      <c r="F22" s="15">
        <f>SUM(E22/G12)*100</f>
        <v>68.181818181818173</v>
      </c>
      <c r="G22" s="17" t="str">
        <f t="shared" si="0"/>
        <v>_</v>
      </c>
      <c r="H22" s="17" t="str">
        <f t="shared" si="1"/>
        <v>/</v>
      </c>
      <c r="I22" s="17" t="str">
        <f t="shared" si="2"/>
        <v>_</v>
      </c>
    </row>
    <row r="23" spans="1:9" x14ac:dyDescent="0.35">
      <c r="A23" s="29">
        <v>7</v>
      </c>
      <c r="B23" s="27" t="s">
        <v>49</v>
      </c>
      <c r="C23" s="12">
        <v>11</v>
      </c>
      <c r="D23" s="15">
        <f>SUM(C23/G12)*100</f>
        <v>50</v>
      </c>
      <c r="E23" s="16">
        <f>SUM(-C23,G12)</f>
        <v>11</v>
      </c>
      <c r="F23" s="15">
        <f>SUM(E23/G12)*100</f>
        <v>50</v>
      </c>
      <c r="G23" s="17" t="str">
        <f t="shared" si="0"/>
        <v>/</v>
      </c>
      <c r="H23" s="17" t="str">
        <f t="shared" si="1"/>
        <v>_</v>
      </c>
      <c r="I23" s="17" t="str">
        <f t="shared" si="2"/>
        <v>_</v>
      </c>
    </row>
    <row r="24" spans="1:9" x14ac:dyDescent="0.35">
      <c r="A24" s="29">
        <v>8</v>
      </c>
      <c r="B24" s="27" t="s">
        <v>50</v>
      </c>
      <c r="C24" s="12">
        <v>4</v>
      </c>
      <c r="D24" s="15">
        <f>SUM(C24/G12)*100</f>
        <v>18.181818181818183</v>
      </c>
      <c r="E24" s="16">
        <f>SUM(-C24,G12)</f>
        <v>18</v>
      </c>
      <c r="F24" s="15">
        <f>SUM(E24/G12)*100</f>
        <v>81.818181818181827</v>
      </c>
      <c r="G24" s="17" t="str">
        <f t="shared" si="0"/>
        <v>_</v>
      </c>
      <c r="H24" s="17" t="str">
        <f t="shared" si="1"/>
        <v>_</v>
      </c>
      <c r="I24" s="17" t="str">
        <f t="shared" si="2"/>
        <v>/</v>
      </c>
    </row>
    <row r="25" spans="1:9" x14ac:dyDescent="0.35">
      <c r="A25" s="29">
        <v>9</v>
      </c>
      <c r="B25" s="27" t="s">
        <v>51</v>
      </c>
      <c r="C25" s="12">
        <v>0</v>
      </c>
      <c r="D25" s="15">
        <f>SUM(C25/G12)*100</f>
        <v>0</v>
      </c>
      <c r="E25" s="16">
        <f>SUM(-C25,G12)</f>
        <v>22</v>
      </c>
      <c r="F25" s="15">
        <f>SUM(E25/G12)*100</f>
        <v>100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x14ac:dyDescent="0.35">
      <c r="A26" s="29">
        <v>10</v>
      </c>
      <c r="B26" s="27" t="s">
        <v>52</v>
      </c>
      <c r="C26" s="12">
        <v>3</v>
      </c>
      <c r="D26" s="15">
        <f>SUM(C26/G12)*100</f>
        <v>13.636363636363635</v>
      </c>
      <c r="E26" s="16">
        <f>SUM(-C26,G12)</f>
        <v>19</v>
      </c>
      <c r="F26" s="15">
        <f>SUM(E26/G12)*100</f>
        <v>86.36363636363636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x14ac:dyDescent="0.35">
      <c r="A27" s="29">
        <v>11</v>
      </c>
      <c r="B27" s="27" t="s">
        <v>53</v>
      </c>
      <c r="C27" s="12">
        <v>4</v>
      </c>
      <c r="D27" s="15">
        <f>SUM(C27/G12)*100</f>
        <v>18.181818181818183</v>
      </c>
      <c r="E27" s="16">
        <f>SUM(-C27,G12)</f>
        <v>18</v>
      </c>
      <c r="F27" s="15">
        <f>SUM(E27/G12)*100</f>
        <v>81.818181818181827</v>
      </c>
      <c r="G27" s="17" t="str">
        <f t="shared" si="0"/>
        <v>_</v>
      </c>
      <c r="H27" s="17" t="str">
        <f t="shared" si="1"/>
        <v>_</v>
      </c>
      <c r="I27" s="17" t="str">
        <f t="shared" si="2"/>
        <v>/</v>
      </c>
    </row>
    <row r="28" spans="1:9" x14ac:dyDescent="0.35">
      <c r="A28" s="29">
        <v>12</v>
      </c>
      <c r="B28" s="27" t="s">
        <v>54</v>
      </c>
      <c r="C28" s="12">
        <v>7</v>
      </c>
      <c r="D28" s="15">
        <f>SUM(C28/G12)*100</f>
        <v>31.818181818181817</v>
      </c>
      <c r="E28" s="16">
        <f>SUM(-C28,G12)</f>
        <v>15</v>
      </c>
      <c r="F28" s="15">
        <f>SUM(E28/G12)*100</f>
        <v>68.181818181818173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x14ac:dyDescent="0.35">
      <c r="A29" s="29">
        <v>13</v>
      </c>
      <c r="B29" s="27" t="s">
        <v>56</v>
      </c>
      <c r="C29" s="12">
        <v>0</v>
      </c>
      <c r="D29" s="15">
        <f>SUM(C29/G12)*100</f>
        <v>0</v>
      </c>
      <c r="E29" s="16">
        <f>SUM(-C29,G12)</f>
        <v>22</v>
      </c>
      <c r="F29" s="15">
        <f>SUM(E29/G12)*100</f>
        <v>100</v>
      </c>
      <c r="G29" s="17" t="str">
        <f t="shared" si="0"/>
        <v>_</v>
      </c>
      <c r="H29" s="17" t="str">
        <f t="shared" si="1"/>
        <v>_</v>
      </c>
      <c r="I29" s="17" t="str">
        <f t="shared" si="2"/>
        <v>/</v>
      </c>
    </row>
    <row r="30" spans="1:9" x14ac:dyDescent="0.35">
      <c r="A30" s="29">
        <v>14</v>
      </c>
      <c r="B30" s="27" t="s">
        <v>55</v>
      </c>
      <c r="C30" s="12">
        <v>5</v>
      </c>
      <c r="D30" s="15">
        <f>SUM(C30/G12)*100</f>
        <v>22.727272727272727</v>
      </c>
      <c r="E30" s="16">
        <f>SUM(-C30,G12)</f>
        <v>17</v>
      </c>
      <c r="F30" s="15">
        <f>SUM(E30/G12)*100</f>
        <v>77.272727272727266</v>
      </c>
      <c r="G30" s="17" t="str">
        <f t="shared" si="0"/>
        <v>_</v>
      </c>
      <c r="H30" s="17" t="str">
        <f t="shared" si="1"/>
        <v>_</v>
      </c>
      <c r="I30" s="17" t="str">
        <f t="shared" si="2"/>
        <v>/</v>
      </c>
    </row>
    <row r="31" spans="1:9" x14ac:dyDescent="0.35">
      <c r="A31" s="29">
        <v>15</v>
      </c>
      <c r="B31" s="27" t="s">
        <v>57</v>
      </c>
      <c r="C31" s="12">
        <v>9</v>
      </c>
      <c r="D31" s="15">
        <f>SUM(C31/G12)*100</f>
        <v>40.909090909090914</v>
      </c>
      <c r="E31" s="16">
        <f>SUM(-C31,G12)</f>
        <v>13</v>
      </c>
      <c r="F31" s="15">
        <f>SUM(E31/G12)*100</f>
        <v>59.090909090909093</v>
      </c>
      <c r="G31" s="17" t="str">
        <f t="shared" si="0"/>
        <v>_</v>
      </c>
      <c r="H31" s="17" t="str">
        <f t="shared" si="1"/>
        <v>/</v>
      </c>
      <c r="I31" s="17" t="str">
        <f t="shared" si="2"/>
        <v>_</v>
      </c>
    </row>
    <row r="32" spans="1:9" x14ac:dyDescent="0.35">
      <c r="A32" s="29">
        <v>16</v>
      </c>
      <c r="B32" s="27" t="s">
        <v>43</v>
      </c>
      <c r="C32" s="12">
        <v>2</v>
      </c>
      <c r="D32" s="15">
        <f>SUM(C32/G12)*100</f>
        <v>9.0909090909090917</v>
      </c>
      <c r="E32" s="16">
        <f>SUM(-C32,G12)</f>
        <v>20</v>
      </c>
      <c r="F32" s="15">
        <f>SUM(E32/G12)*100</f>
        <v>90.909090909090907</v>
      </c>
      <c r="G32" s="17" t="str">
        <f t="shared" si="0"/>
        <v>_</v>
      </c>
      <c r="H32" s="17" t="str">
        <f t="shared" si="1"/>
        <v>_</v>
      </c>
      <c r="I32" s="17" t="str">
        <f t="shared" si="2"/>
        <v>/</v>
      </c>
    </row>
    <row r="33" spans="1:9" x14ac:dyDescent="0.35">
      <c r="A33" s="29">
        <v>17</v>
      </c>
      <c r="B33" s="27" t="s">
        <v>44</v>
      </c>
      <c r="C33" s="12">
        <v>6</v>
      </c>
      <c r="D33" s="15">
        <f>SUM(C33/G12)*100</f>
        <v>27.27272727272727</v>
      </c>
      <c r="E33" s="16">
        <f>SUM(-C33,G12)</f>
        <v>16</v>
      </c>
      <c r="F33" s="15">
        <f>SUM(E33/G12)*100</f>
        <v>72.727272727272734</v>
      </c>
      <c r="G33" s="17" t="str">
        <f t="shared" si="0"/>
        <v>_</v>
      </c>
      <c r="H33" s="17" t="str">
        <f t="shared" si="1"/>
        <v>/</v>
      </c>
      <c r="I33" s="17" t="str">
        <f t="shared" si="2"/>
        <v>_</v>
      </c>
    </row>
    <row r="34" spans="1:9" x14ac:dyDescent="0.35">
      <c r="A34" s="29">
        <v>18</v>
      </c>
      <c r="B34" s="27" t="s">
        <v>45</v>
      </c>
      <c r="C34" s="12">
        <v>12</v>
      </c>
      <c r="D34" s="15">
        <f>SUM(C34/G12)*100</f>
        <v>54.54545454545454</v>
      </c>
      <c r="E34" s="16">
        <f>SUM(-C34,G12)</f>
        <v>10</v>
      </c>
      <c r="F34" s="15">
        <f>SUM(E34/G12)*100</f>
        <v>45.454545454545453</v>
      </c>
      <c r="G34" s="17" t="str">
        <f t="shared" si="0"/>
        <v>/</v>
      </c>
      <c r="H34" s="17" t="str">
        <f t="shared" si="1"/>
        <v>_</v>
      </c>
      <c r="I34" s="17" t="str">
        <f t="shared" si="2"/>
        <v>_</v>
      </c>
    </row>
    <row r="35" spans="1:9" x14ac:dyDescent="0.35">
      <c r="A35" s="29">
        <v>19</v>
      </c>
      <c r="B35" s="27" t="s">
        <v>46</v>
      </c>
      <c r="C35" s="12">
        <v>8</v>
      </c>
      <c r="D35" s="15">
        <f>SUM(C35/G12)*100</f>
        <v>36.363636363636367</v>
      </c>
      <c r="E35" s="16">
        <f>SUM(-C35,G12)</f>
        <v>14</v>
      </c>
      <c r="F35" s="15">
        <f>SUM(E35/G12)*100</f>
        <v>63.636363636363633</v>
      </c>
      <c r="G35" s="17" t="str">
        <f t="shared" si="0"/>
        <v>_</v>
      </c>
      <c r="H35" s="17" t="str">
        <f t="shared" si="1"/>
        <v>/</v>
      </c>
      <c r="I35" s="17" t="str">
        <f t="shared" si="2"/>
        <v>_</v>
      </c>
    </row>
    <row r="36" spans="1:9" x14ac:dyDescent="0.35">
      <c r="A36" s="29">
        <v>20</v>
      </c>
      <c r="B36" s="27" t="s">
        <v>48</v>
      </c>
      <c r="C36" s="12">
        <v>5</v>
      </c>
      <c r="D36" s="15">
        <f>SUM(C36/G12)*100</f>
        <v>22.727272727272727</v>
      </c>
      <c r="E36" s="16">
        <f>SUM(-C36,G12)</f>
        <v>17</v>
      </c>
      <c r="F36" s="15">
        <f>SUM(E36/G12)*100</f>
        <v>77.272727272727266</v>
      </c>
      <c r="G36" s="17" t="str">
        <f t="shared" si="0"/>
        <v>_</v>
      </c>
      <c r="H36" s="17" t="str">
        <f t="shared" si="1"/>
        <v>_</v>
      </c>
      <c r="I36" s="17" t="str">
        <f t="shared" si="2"/>
        <v>/</v>
      </c>
    </row>
    <row r="37" spans="1:9" x14ac:dyDescent="0.35">
      <c r="A37" s="29">
        <v>21</v>
      </c>
      <c r="B37" s="27" t="s">
        <v>47</v>
      </c>
      <c r="C37" s="12">
        <v>10</v>
      </c>
      <c r="D37" s="15">
        <f>SUM(C37/G12)*100</f>
        <v>45.454545454545453</v>
      </c>
      <c r="E37" s="16">
        <f>SUM(-C37,G12)</f>
        <v>12</v>
      </c>
      <c r="F37" s="15">
        <f>SUM(E37/G12)*100</f>
        <v>54.54545454545454</v>
      </c>
      <c r="G37" s="17" t="str">
        <f t="shared" si="0"/>
        <v>_</v>
      </c>
      <c r="H37" s="17" t="str">
        <f t="shared" si="1"/>
        <v>/</v>
      </c>
      <c r="I37" s="17" t="str">
        <f t="shared" si="2"/>
        <v>_</v>
      </c>
    </row>
    <row r="38" spans="1:9" x14ac:dyDescent="0.35">
      <c r="A38" s="30">
        <v>22</v>
      </c>
      <c r="B38" s="27" t="s">
        <v>49</v>
      </c>
      <c r="C38" s="12">
        <v>8</v>
      </c>
      <c r="D38" s="15">
        <f>SUM(C38/G12)*100</f>
        <v>36.363636363636367</v>
      </c>
      <c r="E38" s="16">
        <f>SUM(-C38,G12)</f>
        <v>14</v>
      </c>
      <c r="F38" s="15">
        <f>SUM(E38/G12)*100</f>
        <v>63.636363636363633</v>
      </c>
      <c r="G38" s="17" t="str">
        <f t="shared" si="0"/>
        <v>_</v>
      </c>
      <c r="H38" s="17" t="str">
        <f t="shared" si="1"/>
        <v>/</v>
      </c>
      <c r="I38" s="17" t="str">
        <f t="shared" si="2"/>
        <v>_</v>
      </c>
    </row>
    <row r="39" spans="1:9" x14ac:dyDescent="0.35">
      <c r="A39" s="30">
        <v>23</v>
      </c>
      <c r="B39" s="27" t="s">
        <v>50</v>
      </c>
      <c r="C39" s="12">
        <v>2</v>
      </c>
      <c r="D39" s="15">
        <f>SUM(C39/G12)*100</f>
        <v>9.0909090909090917</v>
      </c>
      <c r="E39" s="16">
        <f>SUM(-C39,G12)</f>
        <v>20</v>
      </c>
      <c r="F39" s="15">
        <f>SUM(E39/G12)*100</f>
        <v>90.909090909090907</v>
      </c>
      <c r="G39" s="17" t="str">
        <f t="shared" si="0"/>
        <v>_</v>
      </c>
      <c r="H39" s="17" t="str">
        <f t="shared" si="1"/>
        <v>_</v>
      </c>
      <c r="I39" s="17" t="str">
        <f t="shared" si="2"/>
        <v>/</v>
      </c>
    </row>
    <row r="40" spans="1:9" x14ac:dyDescent="0.35">
      <c r="A40" s="30">
        <v>24</v>
      </c>
      <c r="B40" s="27" t="s">
        <v>51</v>
      </c>
      <c r="C40" s="12">
        <v>8</v>
      </c>
      <c r="D40" s="15">
        <f>SUM(C40/G12)*100</f>
        <v>36.363636363636367</v>
      </c>
      <c r="E40" s="16">
        <f>SUM(-C40,G12)</f>
        <v>14</v>
      </c>
      <c r="F40" s="15">
        <f>SUM(E40/G12)*100</f>
        <v>63.636363636363633</v>
      </c>
      <c r="G40" s="17" t="str">
        <f t="shared" si="0"/>
        <v>_</v>
      </c>
      <c r="H40" s="17" t="str">
        <f t="shared" si="1"/>
        <v>/</v>
      </c>
      <c r="I40" s="17" t="str">
        <f t="shared" si="2"/>
        <v>_</v>
      </c>
    </row>
    <row r="41" spans="1:9" x14ac:dyDescent="0.35">
      <c r="A41" s="30">
        <v>25</v>
      </c>
      <c r="B41" s="27" t="s">
        <v>52</v>
      </c>
      <c r="C41" s="12">
        <v>5</v>
      </c>
      <c r="D41" s="15">
        <f>SUM(C41/G12)*100</f>
        <v>22.727272727272727</v>
      </c>
      <c r="E41" s="16">
        <f>SUM(-C41,G12)</f>
        <v>17</v>
      </c>
      <c r="F41" s="15">
        <f>SUM(E41/G12)*100</f>
        <v>77.272727272727266</v>
      </c>
      <c r="G41" s="17" t="str">
        <f t="shared" si="0"/>
        <v>_</v>
      </c>
      <c r="H41" s="17" t="str">
        <f t="shared" si="1"/>
        <v>_</v>
      </c>
      <c r="I41" s="17" t="str">
        <f t="shared" si="2"/>
        <v>/</v>
      </c>
    </row>
    <row r="42" spans="1:9" x14ac:dyDescent="0.35">
      <c r="A42" s="30">
        <v>26</v>
      </c>
      <c r="B42" s="27" t="s">
        <v>53</v>
      </c>
      <c r="C42" s="12">
        <v>0</v>
      </c>
      <c r="D42" s="15">
        <f>SUM(C42/G12)*100</f>
        <v>0</v>
      </c>
      <c r="E42" s="16">
        <f>SUM(-C42,G12)</f>
        <v>22</v>
      </c>
      <c r="F42" s="15">
        <f>SUM(E42/G12)*100</f>
        <v>100</v>
      </c>
      <c r="G42" s="17" t="str">
        <f t="shared" si="0"/>
        <v>_</v>
      </c>
      <c r="H42" s="17" t="str">
        <f t="shared" si="1"/>
        <v>_</v>
      </c>
      <c r="I42" s="17" t="str">
        <f t="shared" si="2"/>
        <v>/</v>
      </c>
    </row>
    <row r="43" spans="1:9" x14ac:dyDescent="0.35">
      <c r="A43" s="30">
        <v>27</v>
      </c>
      <c r="B43" s="27" t="s">
        <v>54</v>
      </c>
      <c r="C43" s="12">
        <v>6</v>
      </c>
      <c r="D43" s="15">
        <f>SUM(C43/G12)*100</f>
        <v>27.27272727272727</v>
      </c>
      <c r="E43" s="16">
        <f>SUM(-C43,G12)</f>
        <v>16</v>
      </c>
      <c r="F43" s="15">
        <f>SUM(E43/G12)*100</f>
        <v>72.727272727272734</v>
      </c>
      <c r="G43" s="17" t="str">
        <f t="shared" si="0"/>
        <v>_</v>
      </c>
      <c r="H43" s="17" t="str">
        <f t="shared" si="1"/>
        <v>/</v>
      </c>
      <c r="I43" s="17" t="str">
        <f t="shared" si="2"/>
        <v>_</v>
      </c>
    </row>
    <row r="44" spans="1:9" x14ac:dyDescent="0.35">
      <c r="A44" s="30">
        <v>28</v>
      </c>
      <c r="B44" s="27" t="s">
        <v>56</v>
      </c>
      <c r="C44" s="12">
        <v>11</v>
      </c>
      <c r="D44" s="15">
        <f>SUM(C44/G12)*100</f>
        <v>50</v>
      </c>
      <c r="E44" s="16">
        <f>SUM(-C44,G12)</f>
        <v>11</v>
      </c>
      <c r="F44" s="15">
        <f>SUM(E44/G12)*100</f>
        <v>50</v>
      </c>
      <c r="G44" s="17" t="str">
        <f t="shared" si="0"/>
        <v>/</v>
      </c>
      <c r="H44" s="17" t="str">
        <f t="shared" si="1"/>
        <v>_</v>
      </c>
      <c r="I44" s="17" t="str">
        <f t="shared" si="2"/>
        <v>_</v>
      </c>
    </row>
    <row r="45" spans="1:9" x14ac:dyDescent="0.35">
      <c r="A45" s="30">
        <v>29</v>
      </c>
      <c r="B45" s="27" t="s">
        <v>55</v>
      </c>
      <c r="C45" s="12">
        <v>4</v>
      </c>
      <c r="D45" s="15">
        <f>SUM(C45/G12)*100</f>
        <v>18.181818181818183</v>
      </c>
      <c r="E45" s="16">
        <f>SUM(-C45,G12)</f>
        <v>18</v>
      </c>
      <c r="F45" s="15">
        <f>SUM(E45/G12)*100</f>
        <v>81.818181818181827</v>
      </c>
      <c r="G45" s="17" t="str">
        <f t="shared" si="0"/>
        <v>_</v>
      </c>
      <c r="H45" s="17" t="str">
        <f t="shared" si="1"/>
        <v>_</v>
      </c>
      <c r="I45" s="17" t="str">
        <f t="shared" si="2"/>
        <v>/</v>
      </c>
    </row>
    <row r="46" spans="1:9" x14ac:dyDescent="0.35">
      <c r="A46" s="30">
        <v>30</v>
      </c>
      <c r="B46" s="27" t="s">
        <v>57</v>
      </c>
      <c r="C46" s="12">
        <v>9</v>
      </c>
      <c r="D46" s="15">
        <f>SUM(C46/G12)*100</f>
        <v>40.909090909090914</v>
      </c>
      <c r="E46" s="16">
        <f>SUM(-C46,G12)</f>
        <v>13</v>
      </c>
      <c r="F46" s="15">
        <f>SUM(E46/G12)*100</f>
        <v>59.090909090909093</v>
      </c>
      <c r="G46" s="17" t="str">
        <f t="shared" si="0"/>
        <v>_</v>
      </c>
      <c r="H46" s="17" t="str">
        <f t="shared" si="1"/>
        <v>/</v>
      </c>
      <c r="I46" s="17" t="str">
        <f t="shared" si="2"/>
        <v>_</v>
      </c>
    </row>
    <row r="47" spans="1:9" x14ac:dyDescent="0.35">
      <c r="A47" s="30">
        <v>31</v>
      </c>
      <c r="B47" s="27" t="s">
        <v>43</v>
      </c>
      <c r="C47" s="12">
        <v>6</v>
      </c>
      <c r="D47" s="15">
        <f>SUM(C47/G12)*100</f>
        <v>27.27272727272727</v>
      </c>
      <c r="E47" s="16">
        <f>SUM(-C47,G12)</f>
        <v>16</v>
      </c>
      <c r="F47" s="15">
        <f>SUM(E47/G12)*100</f>
        <v>72.727272727272734</v>
      </c>
      <c r="G47" s="17" t="str">
        <f t="shared" si="0"/>
        <v>_</v>
      </c>
      <c r="H47" s="17" t="str">
        <f t="shared" si="1"/>
        <v>/</v>
      </c>
      <c r="I47" s="17" t="str">
        <f t="shared" si="2"/>
        <v>_</v>
      </c>
    </row>
    <row r="48" spans="1:9" x14ac:dyDescent="0.35">
      <c r="A48" s="30">
        <v>32</v>
      </c>
      <c r="B48" s="27" t="s">
        <v>44</v>
      </c>
      <c r="C48" s="12">
        <v>2</v>
      </c>
      <c r="D48" s="15">
        <f>SUM(C48/G12)*100</f>
        <v>9.0909090909090917</v>
      </c>
      <c r="E48" s="16">
        <f>SUM(-C48,G12)</f>
        <v>20</v>
      </c>
      <c r="F48" s="15">
        <f>SUM(E48/G12)*100</f>
        <v>90.909090909090907</v>
      </c>
      <c r="G48" s="17" t="str">
        <f t="shared" si="0"/>
        <v>_</v>
      </c>
      <c r="H48" s="17" t="str">
        <f t="shared" si="1"/>
        <v>_</v>
      </c>
      <c r="I48" s="17" t="str">
        <f t="shared" si="2"/>
        <v>/</v>
      </c>
    </row>
    <row r="49" spans="1:9" x14ac:dyDescent="0.35">
      <c r="A49" s="30">
        <v>33</v>
      </c>
      <c r="B49" s="27" t="s">
        <v>45</v>
      </c>
      <c r="C49" s="12">
        <v>9</v>
      </c>
      <c r="D49" s="15">
        <f>SUM(C49/G12)*100</f>
        <v>40.909090909090914</v>
      </c>
      <c r="E49" s="16">
        <f>SUM(-C49,G12)</f>
        <v>13</v>
      </c>
      <c r="F49" s="15">
        <f>SUM(E49/G12)*100</f>
        <v>59.090909090909093</v>
      </c>
      <c r="G49" s="17" t="str">
        <f t="shared" si="0"/>
        <v>_</v>
      </c>
      <c r="H49" s="17" t="str">
        <f t="shared" si="1"/>
        <v>/</v>
      </c>
      <c r="I49" s="17" t="str">
        <f t="shared" si="2"/>
        <v>_</v>
      </c>
    </row>
    <row r="50" spans="1:9" x14ac:dyDescent="0.35">
      <c r="A50" s="30">
        <v>34</v>
      </c>
      <c r="B50" s="27" t="s">
        <v>46</v>
      </c>
      <c r="C50" s="12">
        <v>3</v>
      </c>
      <c r="D50" s="15">
        <f>SUM(C50/G12)*100</f>
        <v>13.636363636363635</v>
      </c>
      <c r="E50" s="16">
        <f>SUM(-C50,G12)</f>
        <v>19</v>
      </c>
      <c r="F50" s="15">
        <f>SUM(E50/G12)*100</f>
        <v>86.36363636363636</v>
      </c>
      <c r="G50" s="17" t="str">
        <f t="shared" si="0"/>
        <v>_</v>
      </c>
      <c r="H50" s="17" t="str">
        <f t="shared" si="1"/>
        <v>_</v>
      </c>
      <c r="I50" s="17" t="str">
        <f t="shared" si="2"/>
        <v>/</v>
      </c>
    </row>
    <row r="51" spans="1:9" x14ac:dyDescent="0.35">
      <c r="A51" s="30">
        <v>35</v>
      </c>
      <c r="B51" s="27" t="s">
        <v>48</v>
      </c>
      <c r="C51" s="12">
        <v>10</v>
      </c>
      <c r="D51" s="15">
        <f>SUM(C51/G12)*100</f>
        <v>45.454545454545453</v>
      </c>
      <c r="E51" s="16">
        <f>SUM(-C51,G12)</f>
        <v>12</v>
      </c>
      <c r="F51" s="15">
        <f>SUM(E51/G12)*100</f>
        <v>54.54545454545454</v>
      </c>
      <c r="G51" s="17" t="str">
        <f t="shared" si="0"/>
        <v>_</v>
      </c>
      <c r="H51" s="17" t="str">
        <f t="shared" si="1"/>
        <v>/</v>
      </c>
      <c r="I51" s="17" t="str">
        <f t="shared" si="2"/>
        <v>_</v>
      </c>
    </row>
    <row r="52" spans="1:9" x14ac:dyDescent="0.35">
      <c r="A52" s="30">
        <v>36</v>
      </c>
      <c r="B52" s="27" t="s">
        <v>47</v>
      </c>
      <c r="C52" s="12">
        <v>11</v>
      </c>
      <c r="D52" s="15">
        <f>SUM(C52/G12)*100</f>
        <v>50</v>
      </c>
      <c r="E52" s="16">
        <f>SUM(-C52,G12)</f>
        <v>11</v>
      </c>
      <c r="F52" s="15">
        <f>SUM(E52/G12)*100</f>
        <v>50</v>
      </c>
      <c r="G52" s="17" t="str">
        <f t="shared" si="0"/>
        <v>/</v>
      </c>
      <c r="H52" s="17" t="str">
        <f t="shared" si="1"/>
        <v>_</v>
      </c>
      <c r="I52" s="17" t="str">
        <f t="shared" si="2"/>
        <v>_</v>
      </c>
    </row>
    <row r="53" spans="1:9" x14ac:dyDescent="0.35">
      <c r="A53" s="30">
        <v>37</v>
      </c>
      <c r="B53" s="27" t="s">
        <v>49</v>
      </c>
      <c r="C53" s="12">
        <v>6</v>
      </c>
      <c r="D53" s="15">
        <f>SUM(C53/G12)*100</f>
        <v>27.27272727272727</v>
      </c>
      <c r="E53" s="16">
        <f>SUM(-C53,G12)</f>
        <v>16</v>
      </c>
      <c r="F53" s="15">
        <f>SUM(E53/G12)*100</f>
        <v>72.727272727272734</v>
      </c>
      <c r="G53" s="17" t="str">
        <f t="shared" si="0"/>
        <v>_</v>
      </c>
      <c r="H53" s="17" t="str">
        <f t="shared" si="1"/>
        <v>/</v>
      </c>
      <c r="I53" s="17" t="str">
        <f t="shared" si="2"/>
        <v>_</v>
      </c>
    </row>
    <row r="54" spans="1:9" x14ac:dyDescent="0.35">
      <c r="A54" s="30">
        <v>38</v>
      </c>
      <c r="B54" s="27" t="s">
        <v>50</v>
      </c>
      <c r="C54" s="12">
        <v>8</v>
      </c>
      <c r="D54" s="15">
        <f>SUM(C54/G12)*100</f>
        <v>36.363636363636367</v>
      </c>
      <c r="E54" s="16">
        <f>SUM(-C54,G12)</f>
        <v>14</v>
      </c>
      <c r="F54" s="15">
        <f>SUM(E54/G12)*100</f>
        <v>63.636363636363633</v>
      </c>
      <c r="G54" s="17" t="str">
        <f t="shared" si="0"/>
        <v>_</v>
      </c>
      <c r="H54" s="17" t="str">
        <f t="shared" si="1"/>
        <v>/</v>
      </c>
      <c r="I54" s="17" t="str">
        <f t="shared" si="2"/>
        <v>_</v>
      </c>
    </row>
    <row r="55" spans="1:9" x14ac:dyDescent="0.35">
      <c r="A55" s="30">
        <v>39</v>
      </c>
      <c r="B55" s="27" t="s">
        <v>51</v>
      </c>
      <c r="C55" s="12">
        <v>3</v>
      </c>
      <c r="D55" s="15">
        <f>SUM(C55/G12)*100</f>
        <v>13.636363636363635</v>
      </c>
      <c r="E55" s="16">
        <f>SUM(-C55,G12)</f>
        <v>19</v>
      </c>
      <c r="F55" s="15">
        <f>SUM(E55/G12)*100</f>
        <v>86.36363636363636</v>
      </c>
      <c r="G55" s="17" t="str">
        <f t="shared" si="0"/>
        <v>_</v>
      </c>
      <c r="H55" s="17" t="str">
        <f t="shared" si="1"/>
        <v>_</v>
      </c>
      <c r="I55" s="17" t="str">
        <f t="shared" si="2"/>
        <v>/</v>
      </c>
    </row>
    <row r="56" spans="1:9" x14ac:dyDescent="0.35">
      <c r="A56" s="30">
        <v>40</v>
      </c>
      <c r="B56" s="27" t="s">
        <v>52</v>
      </c>
      <c r="C56" s="12">
        <v>2</v>
      </c>
      <c r="D56" s="15">
        <f>SUM(C56/G12)*100</f>
        <v>9.0909090909090917</v>
      </c>
      <c r="E56" s="16">
        <f>SUM(-C56,G12)</f>
        <v>20</v>
      </c>
      <c r="F56" s="15">
        <f>SUM(E56/G12)*100</f>
        <v>90.909090909090907</v>
      </c>
      <c r="G56" s="17" t="str">
        <f t="shared" si="0"/>
        <v>_</v>
      </c>
      <c r="H56" s="17" t="str">
        <f t="shared" si="1"/>
        <v>_</v>
      </c>
      <c r="I56" s="17" t="str">
        <f t="shared" si="2"/>
        <v>/</v>
      </c>
    </row>
    <row r="57" spans="1:9" x14ac:dyDescent="0.35">
      <c r="A57" s="30">
        <v>41</v>
      </c>
      <c r="B57" s="27" t="s">
        <v>53</v>
      </c>
      <c r="C57" s="12">
        <v>7</v>
      </c>
      <c r="D57" s="15">
        <f>SUM(C57/G12)*100</f>
        <v>31.818181818181817</v>
      </c>
      <c r="E57" s="16">
        <f>SUM(-C57,G12)</f>
        <v>15</v>
      </c>
      <c r="F57" s="15">
        <f>SUM(E57/G12)*100</f>
        <v>68.181818181818173</v>
      </c>
      <c r="G57" s="17" t="str">
        <f t="shared" si="0"/>
        <v>_</v>
      </c>
      <c r="H57" s="17" t="str">
        <f t="shared" si="1"/>
        <v>/</v>
      </c>
      <c r="I57" s="17" t="str">
        <f t="shared" si="2"/>
        <v>_</v>
      </c>
    </row>
    <row r="58" spans="1:9" x14ac:dyDescent="0.35">
      <c r="A58" s="30">
        <v>42</v>
      </c>
      <c r="B58" s="27" t="s">
        <v>54</v>
      </c>
      <c r="C58" s="12">
        <v>8</v>
      </c>
      <c r="D58" s="15">
        <f>SUM(C58/G12)*100</f>
        <v>36.363636363636367</v>
      </c>
      <c r="E58" s="16">
        <f>SUM(-C58,G12)</f>
        <v>14</v>
      </c>
      <c r="F58" s="15">
        <f>SUM(E58/G12)*100</f>
        <v>63.636363636363633</v>
      </c>
      <c r="G58" s="17" t="str">
        <f t="shared" si="0"/>
        <v>_</v>
      </c>
      <c r="H58" s="17" t="str">
        <f t="shared" si="1"/>
        <v>/</v>
      </c>
      <c r="I58" s="17" t="str">
        <f t="shared" si="2"/>
        <v>_</v>
      </c>
    </row>
    <row r="59" spans="1:9" x14ac:dyDescent="0.35">
      <c r="A59" s="30">
        <v>43</v>
      </c>
      <c r="B59" s="27" t="s">
        <v>56</v>
      </c>
      <c r="C59" s="12">
        <v>2</v>
      </c>
      <c r="D59" s="15">
        <f>SUM(C59/G12)*100</f>
        <v>9.0909090909090917</v>
      </c>
      <c r="E59" s="16">
        <f>SUM(-C59,G12)</f>
        <v>20</v>
      </c>
      <c r="F59" s="15">
        <f>SUM(E59/G12)*100</f>
        <v>90.909090909090907</v>
      </c>
      <c r="G59" s="17" t="str">
        <f t="shared" si="0"/>
        <v>_</v>
      </c>
      <c r="H59" s="17" t="str">
        <f t="shared" si="1"/>
        <v>_</v>
      </c>
      <c r="I59" s="17" t="str">
        <f t="shared" si="2"/>
        <v>/</v>
      </c>
    </row>
    <row r="60" spans="1:9" x14ac:dyDescent="0.35">
      <c r="A60" s="30">
        <v>44</v>
      </c>
      <c r="B60" s="27" t="s">
        <v>55</v>
      </c>
      <c r="C60" s="12">
        <v>6</v>
      </c>
      <c r="D60" s="15">
        <f>SUM(C60/G12)*100</f>
        <v>27.27272727272727</v>
      </c>
      <c r="E60" s="16">
        <f>SUM(-C60,G12)</f>
        <v>16</v>
      </c>
      <c r="F60" s="15">
        <f>SUM(E60/G12)*100</f>
        <v>72.727272727272734</v>
      </c>
      <c r="G60" s="17" t="str">
        <f t="shared" si="0"/>
        <v>_</v>
      </c>
      <c r="H60" s="17" t="str">
        <f t="shared" si="1"/>
        <v>/</v>
      </c>
      <c r="I60" s="17" t="str">
        <f t="shared" si="2"/>
        <v>_</v>
      </c>
    </row>
    <row r="61" spans="1:9" x14ac:dyDescent="0.35">
      <c r="A61" s="30">
        <v>45</v>
      </c>
      <c r="B61" s="27" t="s">
        <v>57</v>
      </c>
      <c r="C61" s="12">
        <v>9</v>
      </c>
      <c r="D61" s="15">
        <f>SUM(C61/G12)*100</f>
        <v>40.909090909090914</v>
      </c>
      <c r="E61" s="16">
        <f>SUM(-C61,G12)</f>
        <v>13</v>
      </c>
      <c r="F61" s="15">
        <f>SUM(E61/G12)*100</f>
        <v>59.090909090909093</v>
      </c>
      <c r="G61" s="17" t="str">
        <f t="shared" si="0"/>
        <v>_</v>
      </c>
      <c r="H61" s="17" t="str">
        <f t="shared" si="1"/>
        <v>/</v>
      </c>
      <c r="I61" s="17" t="str">
        <f t="shared" si="2"/>
        <v>_</v>
      </c>
    </row>
    <row r="62" spans="1:9" x14ac:dyDescent="0.35">
      <c r="A62" s="30">
        <v>46</v>
      </c>
      <c r="B62" s="27" t="s">
        <v>43</v>
      </c>
      <c r="C62" s="12">
        <v>10</v>
      </c>
      <c r="D62" s="15">
        <f>SUM(C62/G12)*100</f>
        <v>45.454545454545453</v>
      </c>
      <c r="E62" s="16">
        <f>SUM(-C62,G12)</f>
        <v>12</v>
      </c>
      <c r="F62" s="15">
        <f>SUM(E62/G12)*100</f>
        <v>54.54545454545454</v>
      </c>
      <c r="G62" s="17" t="str">
        <f t="shared" si="0"/>
        <v>_</v>
      </c>
      <c r="H62" s="17" t="str">
        <f t="shared" si="1"/>
        <v>/</v>
      </c>
      <c r="I62" s="17" t="str">
        <f t="shared" si="2"/>
        <v>_</v>
      </c>
    </row>
    <row r="63" spans="1:9" x14ac:dyDescent="0.35">
      <c r="A63" s="30">
        <v>47</v>
      </c>
      <c r="B63" s="27" t="s">
        <v>44</v>
      </c>
      <c r="C63" s="12">
        <v>3</v>
      </c>
      <c r="D63" s="15">
        <f>SUM(C63/G12)*100</f>
        <v>13.636363636363635</v>
      </c>
      <c r="E63" s="16">
        <f>SUM(-C63,G12)</f>
        <v>19</v>
      </c>
      <c r="F63" s="15">
        <f>SUM(E63/G12)*100</f>
        <v>86.36363636363636</v>
      </c>
      <c r="G63" s="17" t="str">
        <f t="shared" si="0"/>
        <v>_</v>
      </c>
      <c r="H63" s="17" t="str">
        <f t="shared" si="1"/>
        <v>_</v>
      </c>
      <c r="I63" s="17" t="str">
        <f t="shared" si="2"/>
        <v>/</v>
      </c>
    </row>
    <row r="64" spans="1:9" x14ac:dyDescent="0.35">
      <c r="A64" s="30">
        <v>48</v>
      </c>
      <c r="B64" s="27" t="s">
        <v>45</v>
      </c>
      <c r="C64" s="12">
        <v>6</v>
      </c>
      <c r="D64" s="15">
        <f>SUM(C64/G12)*100</f>
        <v>27.27272727272727</v>
      </c>
      <c r="E64" s="16">
        <f>SUM(-C64,G12)</f>
        <v>16</v>
      </c>
      <c r="F64" s="15">
        <f>SUM(E64/G12)*100</f>
        <v>72.727272727272734</v>
      </c>
      <c r="G64" s="17" t="str">
        <f t="shared" si="0"/>
        <v>_</v>
      </c>
      <c r="H64" s="17" t="str">
        <f t="shared" si="1"/>
        <v>/</v>
      </c>
      <c r="I64" s="17" t="str">
        <f t="shared" si="2"/>
        <v>_</v>
      </c>
    </row>
    <row r="65" spans="1:9" x14ac:dyDescent="0.35">
      <c r="A65" s="30">
        <v>49</v>
      </c>
      <c r="B65" s="27" t="s">
        <v>46</v>
      </c>
      <c r="C65" s="12">
        <v>4</v>
      </c>
      <c r="D65" s="15">
        <f>SUM(C65/G12)*100</f>
        <v>18.181818181818183</v>
      </c>
      <c r="E65" s="16">
        <f>SUM(-C65,G12)</f>
        <v>18</v>
      </c>
      <c r="F65" s="15">
        <f>SUM(E65/G12)*100</f>
        <v>81.818181818181827</v>
      </c>
      <c r="G65" s="17" t="str">
        <f t="shared" si="0"/>
        <v>_</v>
      </c>
      <c r="H65" s="17" t="str">
        <f t="shared" si="1"/>
        <v>_</v>
      </c>
      <c r="I65" s="17" t="str">
        <f t="shared" si="2"/>
        <v>/</v>
      </c>
    </row>
    <row r="66" spans="1:9" x14ac:dyDescent="0.35">
      <c r="A66" s="30">
        <v>50</v>
      </c>
      <c r="B66" s="27" t="s">
        <v>49</v>
      </c>
      <c r="C66" s="12">
        <v>2</v>
      </c>
      <c r="D66" s="15">
        <f>SUM(C66/G12)*100</f>
        <v>9.0909090909090917</v>
      </c>
      <c r="E66" s="16">
        <f>SUM(-C66,G12)</f>
        <v>20</v>
      </c>
      <c r="F66" s="15">
        <f>SUM(E66/G12)*100</f>
        <v>90.909090909090907</v>
      </c>
      <c r="G66" s="17" t="str">
        <f t="shared" si="0"/>
        <v>_</v>
      </c>
      <c r="H66" s="17" t="str">
        <f t="shared" si="1"/>
        <v>_</v>
      </c>
      <c r="I66" s="17" t="str">
        <f t="shared" si="2"/>
        <v>/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1" t="s">
        <v>13</v>
      </c>
      <c r="E68" s="61"/>
      <c r="F68" s="61"/>
    </row>
    <row r="69" spans="1:9" x14ac:dyDescent="0.35">
      <c r="A69" s="20"/>
      <c r="B69" s="20"/>
      <c r="C69" s="14"/>
      <c r="D69" s="20"/>
      <c r="E69" s="20"/>
      <c r="F69" s="20"/>
    </row>
    <row r="70" spans="1:9" ht="15.5" x14ac:dyDescent="0.35">
      <c r="F70" s="62" t="s">
        <v>68</v>
      </c>
      <c r="G70" s="63"/>
      <c r="H70" s="63"/>
    </row>
    <row r="71" spans="1:9" x14ac:dyDescent="0.35">
      <c r="F71" s="34" t="s">
        <v>26</v>
      </c>
      <c r="G71" s="34"/>
      <c r="H71" s="34"/>
    </row>
    <row r="73" spans="1:9" x14ac:dyDescent="0.35">
      <c r="B73" s="1" t="s">
        <v>40</v>
      </c>
    </row>
    <row r="74" spans="1:9" x14ac:dyDescent="0.35">
      <c r="B74" s="25" t="s">
        <v>69</v>
      </c>
    </row>
    <row r="75" spans="1:9" x14ac:dyDescent="0.35">
      <c r="B75" s="24" t="s">
        <v>70</v>
      </c>
    </row>
  </sheetData>
  <mergeCells count="22">
    <mergeCell ref="F71:H71"/>
    <mergeCell ref="A9:I9"/>
    <mergeCell ref="A10:I10"/>
    <mergeCell ref="C12:F12"/>
    <mergeCell ref="C13:F13"/>
    <mergeCell ref="A14:A16"/>
    <mergeCell ref="B14:B16"/>
    <mergeCell ref="C14:C16"/>
    <mergeCell ref="D14:D16"/>
    <mergeCell ref="E14:E16"/>
    <mergeCell ref="F14:F16"/>
    <mergeCell ref="G14:I14"/>
    <mergeCell ref="A67:B67"/>
    <mergeCell ref="D67:F67"/>
    <mergeCell ref="D68:F68"/>
    <mergeCell ref="F70:H70"/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5"/>
  <sheetViews>
    <sheetView zoomScale="130" zoomScaleNormal="130" workbookViewId="0">
      <selection activeCell="D73" sqref="D73"/>
    </sheetView>
  </sheetViews>
  <sheetFormatPr defaultColWidth="9.1796875" defaultRowHeight="14.5" x14ac:dyDescent="0.35"/>
  <cols>
    <col min="1" max="1" width="3.26953125" style="1" customWidth="1"/>
    <col min="2" max="2" width="44.54296875" style="1" customWidth="1"/>
    <col min="3" max="3" width="6.7265625" style="1" customWidth="1"/>
    <col min="4" max="4" width="3.7265625" style="1" customWidth="1"/>
    <col min="5" max="5" width="6.453125" style="1" customWidth="1"/>
    <col min="6" max="6" width="3.7265625" style="1" customWidth="1"/>
    <col min="7" max="7" width="7.26953125" style="1" customWidth="1"/>
    <col min="8" max="8" width="7.726562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67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35">
      <c r="A8" s="18"/>
      <c r="B8" s="18"/>
      <c r="C8" s="18"/>
      <c r="D8" s="18"/>
      <c r="E8" s="18"/>
      <c r="F8" s="18"/>
      <c r="G8" s="18"/>
      <c r="H8" s="18"/>
      <c r="I8" s="18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28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19"/>
      <c r="B11" s="19"/>
      <c r="C11" s="19"/>
      <c r="D11" s="19"/>
      <c r="E11" s="19"/>
      <c r="F11" s="19"/>
      <c r="G11" s="19"/>
      <c r="H11" s="19"/>
      <c r="I11" s="19"/>
    </row>
    <row r="12" spans="1:9" x14ac:dyDescent="0.35">
      <c r="A12" s="4"/>
      <c r="B12" s="4" t="s">
        <v>71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39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40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41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x14ac:dyDescent="0.35">
      <c r="A17" s="28">
        <v>1</v>
      </c>
      <c r="B17" s="27" t="s">
        <v>29</v>
      </c>
      <c r="C17" s="12">
        <v>9</v>
      </c>
      <c r="D17" s="15">
        <f>SUM(C17/G12)*100</f>
        <v>40.909090909090914</v>
      </c>
      <c r="E17" s="16">
        <f>SUM(-C17,G12)</f>
        <v>13</v>
      </c>
      <c r="F17" s="15">
        <f>SUM(E17/G12)*100</f>
        <v>59.090909090909093</v>
      </c>
      <c r="G17" s="17" t="str">
        <f>IF(F17&gt;=75,"_",IF(F17&gt;=51,"_",IF(F17&gt;=1,"/")))</f>
        <v>_</v>
      </c>
      <c r="H17" s="17" t="str">
        <f>IF(F17&gt;=75,"_",IF(F17&gt;=51,"/",IF(F17&gt;=1,"_")))</f>
        <v>/</v>
      </c>
      <c r="I17" s="17" t="str">
        <f>IF(F17&gt;=75,"/",IF(F17&gt;=51,"_",IF(F17&gt;=1,"_")))</f>
        <v>_</v>
      </c>
    </row>
    <row r="18" spans="1:9" x14ac:dyDescent="0.35">
      <c r="A18" s="29">
        <v>2</v>
      </c>
      <c r="B18" s="27" t="s">
        <v>30</v>
      </c>
      <c r="C18" s="12">
        <v>14</v>
      </c>
      <c r="D18" s="15">
        <f>SUM(C18/G12)*100</f>
        <v>63.636363636363633</v>
      </c>
      <c r="E18" s="16">
        <f>SUM(-C18,G12)</f>
        <v>8</v>
      </c>
      <c r="F18" s="15">
        <f>SUM(E18/G12)*100</f>
        <v>36.363636363636367</v>
      </c>
      <c r="G18" s="17" t="str">
        <f t="shared" ref="G18:G66" si="0">IF(F18&gt;=75,"_",IF(F18&gt;=51,"_",IF(F18&gt;=1,"/")))</f>
        <v>/</v>
      </c>
      <c r="H18" s="17" t="str">
        <f t="shared" ref="H18:H66" si="1">IF(F18&gt;=75,"_",IF(F18&gt;=51,"/",IF(F18&gt;=1,"_")))</f>
        <v>_</v>
      </c>
      <c r="I18" s="17" t="str">
        <f t="shared" ref="I18:I66" si="2">IF(F18&gt;=75,"/",IF(F18&gt;=51,"_",IF(F18&gt;=1,"_")))</f>
        <v>_</v>
      </c>
    </row>
    <row r="19" spans="1:9" x14ac:dyDescent="0.35">
      <c r="A19" s="29">
        <v>3</v>
      </c>
      <c r="B19" s="27" t="s">
        <v>31</v>
      </c>
      <c r="C19" s="12">
        <v>6</v>
      </c>
      <c r="D19" s="15">
        <f>SUM(C19/G12)*100</f>
        <v>27.27272727272727</v>
      </c>
      <c r="E19" s="16">
        <f>SUM(-C19,G12)</f>
        <v>16</v>
      </c>
      <c r="F19" s="15">
        <f>SUM(E19/G12)*100</f>
        <v>72.727272727272734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29">
        <v>4</v>
      </c>
      <c r="B20" s="27" t="s">
        <v>32</v>
      </c>
      <c r="C20" s="12">
        <v>8</v>
      </c>
      <c r="D20" s="15">
        <f>SUM(C20/G12)*100</f>
        <v>36.363636363636367</v>
      </c>
      <c r="E20" s="16">
        <f>SUM(-C20,G12)</f>
        <v>14</v>
      </c>
      <c r="F20" s="15">
        <f>SUM(E20/G12)*100</f>
        <v>63.636363636363633</v>
      </c>
      <c r="G20" s="17" t="str">
        <f t="shared" si="0"/>
        <v>_</v>
      </c>
      <c r="H20" s="17" t="str">
        <f t="shared" si="1"/>
        <v>/</v>
      </c>
      <c r="I20" s="17" t="str">
        <f t="shared" si="2"/>
        <v>_</v>
      </c>
    </row>
    <row r="21" spans="1:9" x14ac:dyDescent="0.35">
      <c r="A21" s="29">
        <v>5</v>
      </c>
      <c r="B21" s="27" t="s">
        <v>33</v>
      </c>
      <c r="C21" s="12">
        <v>9</v>
      </c>
      <c r="D21" s="15">
        <f>SUM(C21/G12)*100</f>
        <v>40.909090909090914</v>
      </c>
      <c r="E21" s="16">
        <f>SUM(-C21,G12)</f>
        <v>13</v>
      </c>
      <c r="F21" s="15">
        <f>SUM(E21/G12)*100</f>
        <v>59.090909090909093</v>
      </c>
      <c r="G21" s="17" t="str">
        <f t="shared" si="0"/>
        <v>_</v>
      </c>
      <c r="H21" s="17" t="str">
        <f t="shared" si="1"/>
        <v>/</v>
      </c>
      <c r="I21" s="17" t="str">
        <f t="shared" si="2"/>
        <v>_</v>
      </c>
    </row>
    <row r="22" spans="1:9" x14ac:dyDescent="0.35">
      <c r="A22" s="29">
        <v>6</v>
      </c>
      <c r="B22" s="27" t="s">
        <v>41</v>
      </c>
      <c r="C22" s="12">
        <v>11</v>
      </c>
      <c r="D22" s="15">
        <f>SUM(C22/G12)*100</f>
        <v>50</v>
      </c>
      <c r="E22" s="16">
        <f>SUM(-C22,G12)</f>
        <v>11</v>
      </c>
      <c r="F22" s="15">
        <f>SUM(E22/G12)*100</f>
        <v>50</v>
      </c>
      <c r="G22" s="17" t="str">
        <f t="shared" si="0"/>
        <v>/</v>
      </c>
      <c r="H22" s="17" t="str">
        <f t="shared" si="1"/>
        <v>_</v>
      </c>
      <c r="I22" s="17" t="str">
        <f t="shared" si="2"/>
        <v>_</v>
      </c>
    </row>
    <row r="23" spans="1:9" x14ac:dyDescent="0.35">
      <c r="A23" s="29">
        <v>7</v>
      </c>
      <c r="B23" s="27" t="s">
        <v>35</v>
      </c>
      <c r="C23" s="12">
        <v>16</v>
      </c>
      <c r="D23" s="15">
        <f>SUM(C23/G12)*100</f>
        <v>72.727272727272734</v>
      </c>
      <c r="E23" s="16">
        <f>SUM(-C23,G12)</f>
        <v>6</v>
      </c>
      <c r="F23" s="15">
        <f>SUM(E23/G12)*100</f>
        <v>27.27272727272727</v>
      </c>
      <c r="G23" s="17" t="str">
        <f t="shared" si="0"/>
        <v>/</v>
      </c>
      <c r="H23" s="17" t="str">
        <f t="shared" si="1"/>
        <v>_</v>
      </c>
      <c r="I23" s="17" t="str">
        <f t="shared" si="2"/>
        <v>_</v>
      </c>
    </row>
    <row r="24" spans="1:9" x14ac:dyDescent="0.35">
      <c r="A24" s="29">
        <v>8</v>
      </c>
      <c r="B24" s="27" t="s">
        <v>36</v>
      </c>
      <c r="C24" s="12">
        <v>7</v>
      </c>
      <c r="D24" s="15">
        <f>SUM(C24/G12)*100</f>
        <v>31.818181818181817</v>
      </c>
      <c r="E24" s="16">
        <f>SUM(-C24,G12)</f>
        <v>15</v>
      </c>
      <c r="F24" s="15">
        <f>SUM(E24/G12)*100</f>
        <v>68.181818181818173</v>
      </c>
      <c r="G24" s="17" t="str">
        <f t="shared" si="0"/>
        <v>_</v>
      </c>
      <c r="H24" s="17" t="str">
        <f t="shared" si="1"/>
        <v>/</v>
      </c>
      <c r="I24" s="17" t="str">
        <f t="shared" si="2"/>
        <v>_</v>
      </c>
    </row>
    <row r="25" spans="1:9" x14ac:dyDescent="0.35">
      <c r="A25" s="29">
        <v>9</v>
      </c>
      <c r="B25" s="27" t="s">
        <v>37</v>
      </c>
      <c r="C25" s="12">
        <v>3</v>
      </c>
      <c r="D25" s="15">
        <f>SUM(C25/G12)*100</f>
        <v>13.636363636363635</v>
      </c>
      <c r="E25" s="16">
        <f>SUM(-C25,G12)</f>
        <v>19</v>
      </c>
      <c r="F25" s="15">
        <f>SUM(E25/G12)*100</f>
        <v>86.36363636363636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x14ac:dyDescent="0.35">
      <c r="A26" s="29">
        <v>10</v>
      </c>
      <c r="B26" s="27" t="s">
        <v>38</v>
      </c>
      <c r="C26" s="12">
        <v>4</v>
      </c>
      <c r="D26" s="15">
        <f>SUM(C26/G12)*100</f>
        <v>18.181818181818183</v>
      </c>
      <c r="E26" s="16">
        <f>SUM(-C26,G12)</f>
        <v>18</v>
      </c>
      <c r="F26" s="15">
        <f>SUM(E26/G12)*100</f>
        <v>81.818181818181827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x14ac:dyDescent="0.35">
      <c r="A27" s="29">
        <v>11</v>
      </c>
      <c r="B27" s="27" t="s">
        <v>39</v>
      </c>
      <c r="C27" s="12">
        <v>15</v>
      </c>
      <c r="D27" s="15">
        <f>SUM(C27/G12)*100</f>
        <v>68.181818181818173</v>
      </c>
      <c r="E27" s="16">
        <f>SUM(-C27,G12)</f>
        <v>7</v>
      </c>
      <c r="F27" s="15">
        <f>SUM(E27/G12)*100</f>
        <v>31.818181818181817</v>
      </c>
      <c r="G27" s="17" t="str">
        <f t="shared" si="0"/>
        <v>/</v>
      </c>
      <c r="H27" s="17" t="str">
        <f t="shared" si="1"/>
        <v>_</v>
      </c>
      <c r="I27" s="17" t="str">
        <f t="shared" si="2"/>
        <v>_</v>
      </c>
    </row>
    <row r="28" spans="1:9" x14ac:dyDescent="0.35">
      <c r="A28" s="29">
        <v>12</v>
      </c>
      <c r="B28" s="27" t="s">
        <v>29</v>
      </c>
      <c r="C28" s="12">
        <v>8</v>
      </c>
      <c r="D28" s="15">
        <f>SUM(C28/G12)*100</f>
        <v>36.363636363636367</v>
      </c>
      <c r="E28" s="16">
        <f>SUM(-C28,G12)</f>
        <v>14</v>
      </c>
      <c r="F28" s="15">
        <f>SUM(E28/G12)*100</f>
        <v>63.636363636363633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x14ac:dyDescent="0.35">
      <c r="A29" s="29">
        <v>13</v>
      </c>
      <c r="B29" s="27" t="s">
        <v>30</v>
      </c>
      <c r="C29" s="12">
        <v>10</v>
      </c>
      <c r="D29" s="15">
        <f>SUM(C29/G12)*100</f>
        <v>45.454545454545453</v>
      </c>
      <c r="E29" s="16">
        <f>SUM(-C29,G12)</f>
        <v>12</v>
      </c>
      <c r="F29" s="15">
        <f>SUM(E29/G12)*100</f>
        <v>54.54545454545454</v>
      </c>
      <c r="G29" s="17" t="str">
        <f t="shared" si="0"/>
        <v>_</v>
      </c>
      <c r="H29" s="17" t="str">
        <f t="shared" si="1"/>
        <v>/</v>
      </c>
      <c r="I29" s="17" t="str">
        <f t="shared" si="2"/>
        <v>_</v>
      </c>
    </row>
    <row r="30" spans="1:9" x14ac:dyDescent="0.35">
      <c r="A30" s="29">
        <v>14</v>
      </c>
      <c r="B30" s="27" t="s">
        <v>31</v>
      </c>
      <c r="C30" s="12">
        <v>2</v>
      </c>
      <c r="D30" s="15">
        <f>SUM(C30/G12)*100</f>
        <v>9.0909090909090917</v>
      </c>
      <c r="E30" s="16">
        <f>SUM(-C30,G12)</f>
        <v>20</v>
      </c>
      <c r="F30" s="15">
        <f>SUM(E30/G12)*100</f>
        <v>90.909090909090907</v>
      </c>
      <c r="G30" s="17" t="str">
        <f t="shared" si="0"/>
        <v>_</v>
      </c>
      <c r="H30" s="17" t="str">
        <f t="shared" si="1"/>
        <v>_</v>
      </c>
      <c r="I30" s="17" t="str">
        <f t="shared" si="2"/>
        <v>/</v>
      </c>
    </row>
    <row r="31" spans="1:9" x14ac:dyDescent="0.35">
      <c r="A31" s="29">
        <v>15</v>
      </c>
      <c r="B31" s="27" t="s">
        <v>32</v>
      </c>
      <c r="C31" s="12">
        <v>6</v>
      </c>
      <c r="D31" s="15">
        <f>SUM(C31/G12)*100</f>
        <v>27.27272727272727</v>
      </c>
      <c r="E31" s="16">
        <f>SUM(-C31,G12)</f>
        <v>16</v>
      </c>
      <c r="F31" s="15">
        <f>SUM(E31/G12)*100</f>
        <v>72.727272727272734</v>
      </c>
      <c r="G31" s="17" t="str">
        <f t="shared" si="0"/>
        <v>_</v>
      </c>
      <c r="H31" s="17" t="str">
        <f t="shared" si="1"/>
        <v>/</v>
      </c>
      <c r="I31" s="17" t="str">
        <f t="shared" si="2"/>
        <v>_</v>
      </c>
    </row>
    <row r="32" spans="1:9" x14ac:dyDescent="0.35">
      <c r="A32" s="29">
        <v>16</v>
      </c>
      <c r="B32" s="27" t="s">
        <v>33</v>
      </c>
      <c r="C32" s="12">
        <v>11</v>
      </c>
      <c r="D32" s="15">
        <f>SUM(C32/G12)*100</f>
        <v>50</v>
      </c>
      <c r="E32" s="16">
        <f>SUM(-C32,G12)</f>
        <v>11</v>
      </c>
      <c r="F32" s="15">
        <f>SUM(E32/G12)*100</f>
        <v>50</v>
      </c>
      <c r="G32" s="17" t="str">
        <f t="shared" si="0"/>
        <v>/</v>
      </c>
      <c r="H32" s="17" t="str">
        <f t="shared" si="1"/>
        <v>_</v>
      </c>
      <c r="I32" s="17" t="str">
        <f t="shared" si="2"/>
        <v>_</v>
      </c>
    </row>
    <row r="33" spans="1:9" x14ac:dyDescent="0.35">
      <c r="A33" s="29">
        <v>17</v>
      </c>
      <c r="B33" s="27" t="s">
        <v>41</v>
      </c>
      <c r="C33" s="12">
        <v>1</v>
      </c>
      <c r="D33" s="15">
        <f>SUM(C33/G12)*100</f>
        <v>4.5454545454545459</v>
      </c>
      <c r="E33" s="16">
        <f>SUM(-C33,G12)</f>
        <v>21</v>
      </c>
      <c r="F33" s="15">
        <f>SUM(E33/G12)*100</f>
        <v>95.454545454545453</v>
      </c>
      <c r="G33" s="17" t="str">
        <f t="shared" si="0"/>
        <v>_</v>
      </c>
      <c r="H33" s="17" t="str">
        <f t="shared" si="1"/>
        <v>_</v>
      </c>
      <c r="I33" s="17" t="str">
        <f t="shared" si="2"/>
        <v>/</v>
      </c>
    </row>
    <row r="34" spans="1:9" x14ac:dyDescent="0.35">
      <c r="A34" s="29">
        <v>18</v>
      </c>
      <c r="B34" s="27" t="s">
        <v>35</v>
      </c>
      <c r="C34" s="12">
        <v>13</v>
      </c>
      <c r="D34" s="15">
        <f>SUM(C34/G12)*100</f>
        <v>59.090909090909093</v>
      </c>
      <c r="E34" s="16">
        <f>SUM(-C34,G12)</f>
        <v>9</v>
      </c>
      <c r="F34" s="15">
        <f>SUM(E34/G12)*100</f>
        <v>40.909090909090914</v>
      </c>
      <c r="G34" s="17" t="str">
        <f t="shared" si="0"/>
        <v>/</v>
      </c>
      <c r="H34" s="17" t="str">
        <f t="shared" si="1"/>
        <v>_</v>
      </c>
      <c r="I34" s="17" t="str">
        <f t="shared" si="2"/>
        <v>_</v>
      </c>
    </row>
    <row r="35" spans="1:9" x14ac:dyDescent="0.35">
      <c r="A35" s="29">
        <v>19</v>
      </c>
      <c r="B35" s="27" t="s">
        <v>36</v>
      </c>
      <c r="C35" s="12">
        <v>3</v>
      </c>
      <c r="D35" s="15">
        <f>SUM(C35/G12)*100</f>
        <v>13.636363636363635</v>
      </c>
      <c r="E35" s="16">
        <f>SUM(-C35,G12)</f>
        <v>19</v>
      </c>
      <c r="F35" s="15">
        <f>SUM(E35/G12)*100</f>
        <v>86.36363636363636</v>
      </c>
      <c r="G35" s="17" t="str">
        <f t="shared" si="0"/>
        <v>_</v>
      </c>
      <c r="H35" s="17" t="str">
        <f t="shared" si="1"/>
        <v>_</v>
      </c>
      <c r="I35" s="17" t="str">
        <f t="shared" si="2"/>
        <v>/</v>
      </c>
    </row>
    <row r="36" spans="1:9" x14ac:dyDescent="0.35">
      <c r="A36" s="29">
        <v>20</v>
      </c>
      <c r="B36" s="27" t="s">
        <v>37</v>
      </c>
      <c r="C36" s="12">
        <v>8</v>
      </c>
      <c r="D36" s="15">
        <f>SUM(C36/G12)*100</f>
        <v>36.363636363636367</v>
      </c>
      <c r="E36" s="16">
        <f>SUM(-C36,G12)</f>
        <v>14</v>
      </c>
      <c r="F36" s="15">
        <f>SUM(E36/G12)*100</f>
        <v>63.636363636363633</v>
      </c>
      <c r="G36" s="17" t="str">
        <f t="shared" si="0"/>
        <v>_</v>
      </c>
      <c r="H36" s="17" t="str">
        <f t="shared" si="1"/>
        <v>/</v>
      </c>
      <c r="I36" s="17" t="str">
        <f t="shared" si="2"/>
        <v>_</v>
      </c>
    </row>
    <row r="37" spans="1:9" x14ac:dyDescent="0.35">
      <c r="A37" s="29">
        <v>21</v>
      </c>
      <c r="B37" s="27" t="s">
        <v>38</v>
      </c>
      <c r="C37" s="12">
        <v>11</v>
      </c>
      <c r="D37" s="15">
        <f>SUM(C37/G12)*100</f>
        <v>50</v>
      </c>
      <c r="E37" s="16">
        <f>SUM(-C37,G12)</f>
        <v>11</v>
      </c>
      <c r="F37" s="15">
        <f>SUM(E37/G12)*100</f>
        <v>50</v>
      </c>
      <c r="G37" s="17" t="str">
        <f t="shared" si="0"/>
        <v>/</v>
      </c>
      <c r="H37" s="17" t="str">
        <f t="shared" si="1"/>
        <v>_</v>
      </c>
      <c r="I37" s="17" t="str">
        <f t="shared" si="2"/>
        <v>_</v>
      </c>
    </row>
    <row r="38" spans="1:9" x14ac:dyDescent="0.35">
      <c r="A38" s="30">
        <v>22</v>
      </c>
      <c r="B38" s="27" t="s">
        <v>39</v>
      </c>
      <c r="C38" s="12">
        <v>5</v>
      </c>
      <c r="D38" s="15">
        <f>SUM(C38/G12)*100</f>
        <v>22.727272727272727</v>
      </c>
      <c r="E38" s="16">
        <f>SUM(-C38,G12)</f>
        <v>17</v>
      </c>
      <c r="F38" s="15">
        <f>SUM(E38/G12)*100</f>
        <v>77.272727272727266</v>
      </c>
      <c r="G38" s="17" t="str">
        <f t="shared" si="0"/>
        <v>_</v>
      </c>
      <c r="H38" s="17" t="str">
        <f t="shared" si="1"/>
        <v>_</v>
      </c>
      <c r="I38" s="17" t="str">
        <f t="shared" si="2"/>
        <v>/</v>
      </c>
    </row>
    <row r="39" spans="1:9" x14ac:dyDescent="0.35">
      <c r="A39" s="30">
        <v>23</v>
      </c>
      <c r="B39" s="27" t="s">
        <v>29</v>
      </c>
      <c r="C39" s="12">
        <v>6</v>
      </c>
      <c r="D39" s="15">
        <f>SUM(C39/G12)*100</f>
        <v>27.27272727272727</v>
      </c>
      <c r="E39" s="16">
        <f>SUM(-C39,G12)</f>
        <v>16</v>
      </c>
      <c r="F39" s="15">
        <f>SUM(E39/G12)*100</f>
        <v>72.727272727272734</v>
      </c>
      <c r="G39" s="17" t="str">
        <f t="shared" si="0"/>
        <v>_</v>
      </c>
      <c r="H39" s="17" t="str">
        <f t="shared" si="1"/>
        <v>/</v>
      </c>
      <c r="I39" s="17" t="str">
        <f t="shared" si="2"/>
        <v>_</v>
      </c>
    </row>
    <row r="40" spans="1:9" x14ac:dyDescent="0.35">
      <c r="A40" s="30">
        <v>24</v>
      </c>
      <c r="B40" s="27" t="s">
        <v>30</v>
      </c>
      <c r="C40" s="12">
        <v>8</v>
      </c>
      <c r="D40" s="15">
        <f>SUM(C40/G12)*100</f>
        <v>36.363636363636367</v>
      </c>
      <c r="E40" s="16">
        <f>SUM(-C40,G12)</f>
        <v>14</v>
      </c>
      <c r="F40" s="15">
        <f>SUM(E40/G12)*100</f>
        <v>63.636363636363633</v>
      </c>
      <c r="G40" s="17" t="str">
        <f t="shared" si="0"/>
        <v>_</v>
      </c>
      <c r="H40" s="17" t="str">
        <f t="shared" si="1"/>
        <v>/</v>
      </c>
      <c r="I40" s="17" t="str">
        <f t="shared" si="2"/>
        <v>_</v>
      </c>
    </row>
    <row r="41" spans="1:9" x14ac:dyDescent="0.35">
      <c r="A41" s="30">
        <v>25</v>
      </c>
      <c r="B41" s="27" t="s">
        <v>31</v>
      </c>
      <c r="C41" s="12">
        <v>2</v>
      </c>
      <c r="D41" s="15">
        <f>SUM(C41/G12)*100</f>
        <v>9.0909090909090917</v>
      </c>
      <c r="E41" s="16">
        <f>SUM(-C41,G12)</f>
        <v>20</v>
      </c>
      <c r="F41" s="15">
        <f>SUM(E41/G12)*100</f>
        <v>90.909090909090907</v>
      </c>
      <c r="G41" s="17" t="str">
        <f t="shared" si="0"/>
        <v>_</v>
      </c>
      <c r="H41" s="17" t="str">
        <f t="shared" si="1"/>
        <v>_</v>
      </c>
      <c r="I41" s="17" t="str">
        <f t="shared" si="2"/>
        <v>/</v>
      </c>
    </row>
    <row r="42" spans="1:9" x14ac:dyDescent="0.35">
      <c r="A42" s="30">
        <v>26</v>
      </c>
      <c r="B42" s="27" t="s">
        <v>32</v>
      </c>
      <c r="C42" s="12">
        <v>5</v>
      </c>
      <c r="D42" s="15">
        <f>SUM(C42/G12)*100</f>
        <v>22.727272727272727</v>
      </c>
      <c r="E42" s="16">
        <f>SUM(-C42,G12)</f>
        <v>17</v>
      </c>
      <c r="F42" s="15">
        <f>SUM(E42/G12)*100</f>
        <v>77.272727272727266</v>
      </c>
      <c r="G42" s="17" t="str">
        <f t="shared" si="0"/>
        <v>_</v>
      </c>
      <c r="H42" s="17" t="str">
        <f t="shared" si="1"/>
        <v>_</v>
      </c>
      <c r="I42" s="17" t="str">
        <f t="shared" si="2"/>
        <v>/</v>
      </c>
    </row>
    <row r="43" spans="1:9" x14ac:dyDescent="0.35">
      <c r="A43" s="30">
        <v>27</v>
      </c>
      <c r="B43" s="27" t="s">
        <v>33</v>
      </c>
      <c r="C43" s="12">
        <v>3</v>
      </c>
      <c r="D43" s="15">
        <f>SUM(C43/G12)*100</f>
        <v>13.636363636363635</v>
      </c>
      <c r="E43" s="16">
        <f>SUM(-C43,G12)</f>
        <v>19</v>
      </c>
      <c r="F43" s="15">
        <f>SUM(E43/G12)*100</f>
        <v>86.36363636363636</v>
      </c>
      <c r="G43" s="17" t="str">
        <f t="shared" si="0"/>
        <v>_</v>
      </c>
      <c r="H43" s="17" t="str">
        <f t="shared" si="1"/>
        <v>_</v>
      </c>
      <c r="I43" s="17" t="str">
        <f t="shared" si="2"/>
        <v>/</v>
      </c>
    </row>
    <row r="44" spans="1:9" x14ac:dyDescent="0.35">
      <c r="A44" s="30">
        <v>28</v>
      </c>
      <c r="B44" s="27" t="s">
        <v>34</v>
      </c>
      <c r="C44" s="12">
        <v>9</v>
      </c>
      <c r="D44" s="15">
        <f>SUM(C44/G12)*100</f>
        <v>40.909090909090914</v>
      </c>
      <c r="E44" s="16">
        <f>SUM(-C44,G12)</f>
        <v>13</v>
      </c>
      <c r="F44" s="15">
        <f>SUM(E44/G12)*100</f>
        <v>59.090909090909093</v>
      </c>
      <c r="G44" s="17" t="str">
        <f t="shared" si="0"/>
        <v>_</v>
      </c>
      <c r="H44" s="17" t="str">
        <f t="shared" si="1"/>
        <v>/</v>
      </c>
      <c r="I44" s="17" t="str">
        <f t="shared" si="2"/>
        <v>_</v>
      </c>
    </row>
    <row r="45" spans="1:9" x14ac:dyDescent="0.35">
      <c r="A45" s="30">
        <v>29</v>
      </c>
      <c r="B45" s="27" t="s">
        <v>35</v>
      </c>
      <c r="C45" s="12">
        <v>6</v>
      </c>
      <c r="D45" s="15">
        <f>SUM(C45/G12)*100</f>
        <v>27.27272727272727</v>
      </c>
      <c r="E45" s="16">
        <f>SUM(-C45,G12)</f>
        <v>16</v>
      </c>
      <c r="F45" s="15">
        <f>SUM(E45/G12)*100</f>
        <v>72.727272727272734</v>
      </c>
      <c r="G45" s="17" t="str">
        <f t="shared" si="0"/>
        <v>_</v>
      </c>
      <c r="H45" s="17" t="str">
        <f t="shared" si="1"/>
        <v>/</v>
      </c>
      <c r="I45" s="17" t="str">
        <f t="shared" si="2"/>
        <v>_</v>
      </c>
    </row>
    <row r="46" spans="1:9" x14ac:dyDescent="0.35">
      <c r="A46" s="30">
        <v>30</v>
      </c>
      <c r="B46" s="27" t="s">
        <v>36</v>
      </c>
      <c r="C46" s="12">
        <v>6</v>
      </c>
      <c r="D46" s="15">
        <f>SUM(C46/G12)*100</f>
        <v>27.27272727272727</v>
      </c>
      <c r="E46" s="16">
        <f>SUM(-C46,G12)</f>
        <v>16</v>
      </c>
      <c r="F46" s="15">
        <f>SUM(E46/G12)*100</f>
        <v>72.727272727272734</v>
      </c>
      <c r="G46" s="17" t="str">
        <f t="shared" si="0"/>
        <v>_</v>
      </c>
      <c r="H46" s="17" t="str">
        <f t="shared" si="1"/>
        <v>/</v>
      </c>
      <c r="I46" s="17" t="str">
        <f t="shared" si="2"/>
        <v>_</v>
      </c>
    </row>
    <row r="47" spans="1:9" x14ac:dyDescent="0.35">
      <c r="A47" s="30">
        <v>31</v>
      </c>
      <c r="B47" s="27" t="s">
        <v>37</v>
      </c>
      <c r="C47" s="12">
        <v>12</v>
      </c>
      <c r="D47" s="15">
        <f>SUM(C47/G12)*100</f>
        <v>54.54545454545454</v>
      </c>
      <c r="E47" s="16">
        <f>SUM(-C47,G12)</f>
        <v>10</v>
      </c>
      <c r="F47" s="15">
        <f>SUM(E47/G12)*100</f>
        <v>45.454545454545453</v>
      </c>
      <c r="G47" s="17" t="str">
        <f t="shared" si="0"/>
        <v>/</v>
      </c>
      <c r="H47" s="17" t="str">
        <f t="shared" si="1"/>
        <v>_</v>
      </c>
      <c r="I47" s="17" t="str">
        <f t="shared" si="2"/>
        <v>_</v>
      </c>
    </row>
    <row r="48" spans="1:9" x14ac:dyDescent="0.35">
      <c r="A48" s="30">
        <v>32</v>
      </c>
      <c r="B48" s="27" t="s">
        <v>38</v>
      </c>
      <c r="C48" s="12">
        <v>8</v>
      </c>
      <c r="D48" s="15">
        <f>SUM(C48/G12)*100</f>
        <v>36.363636363636367</v>
      </c>
      <c r="E48" s="16">
        <f>SUM(-C48,G12)</f>
        <v>14</v>
      </c>
      <c r="F48" s="15">
        <f>SUM(E48/G12)*100</f>
        <v>63.636363636363633</v>
      </c>
      <c r="G48" s="17" t="str">
        <f t="shared" si="0"/>
        <v>_</v>
      </c>
      <c r="H48" s="17" t="str">
        <f t="shared" si="1"/>
        <v>/</v>
      </c>
      <c r="I48" s="17" t="str">
        <f t="shared" si="2"/>
        <v>_</v>
      </c>
    </row>
    <row r="49" spans="1:9" x14ac:dyDescent="0.35">
      <c r="A49" s="30">
        <v>33</v>
      </c>
      <c r="B49" s="27" t="s">
        <v>39</v>
      </c>
      <c r="C49" s="12">
        <v>4</v>
      </c>
      <c r="D49" s="15">
        <f>SUM(C49/G12)*100</f>
        <v>18.181818181818183</v>
      </c>
      <c r="E49" s="16">
        <f>SUM(-C49,G12)</f>
        <v>18</v>
      </c>
      <c r="F49" s="15">
        <f>SUM(E49/G12)*100</f>
        <v>81.818181818181827</v>
      </c>
      <c r="G49" s="17" t="str">
        <f t="shared" si="0"/>
        <v>_</v>
      </c>
      <c r="H49" s="17" t="str">
        <f t="shared" si="1"/>
        <v>_</v>
      </c>
      <c r="I49" s="17" t="str">
        <f t="shared" si="2"/>
        <v>/</v>
      </c>
    </row>
    <row r="50" spans="1:9" x14ac:dyDescent="0.35">
      <c r="A50" s="30">
        <v>34</v>
      </c>
      <c r="B50" s="27" t="s">
        <v>29</v>
      </c>
      <c r="C50" s="12">
        <v>9</v>
      </c>
      <c r="D50" s="15">
        <f>SUM(C50/G12)*100</f>
        <v>40.909090909090914</v>
      </c>
      <c r="E50" s="16">
        <f>SUM(-C50,G12)</f>
        <v>13</v>
      </c>
      <c r="F50" s="15">
        <f>SUM(E50/G12)*100</f>
        <v>59.090909090909093</v>
      </c>
      <c r="G50" s="17" t="str">
        <f t="shared" si="0"/>
        <v>_</v>
      </c>
      <c r="H50" s="17" t="str">
        <f t="shared" si="1"/>
        <v>/</v>
      </c>
      <c r="I50" s="17" t="str">
        <f t="shared" si="2"/>
        <v>_</v>
      </c>
    </row>
    <row r="51" spans="1:9" x14ac:dyDescent="0.35">
      <c r="A51" s="30">
        <v>35</v>
      </c>
      <c r="B51" s="27" t="s">
        <v>30</v>
      </c>
      <c r="C51" s="12">
        <v>8</v>
      </c>
      <c r="D51" s="15">
        <f>SUM(C51/G12)*100</f>
        <v>36.363636363636367</v>
      </c>
      <c r="E51" s="16">
        <f>SUM(-C51,G12)</f>
        <v>14</v>
      </c>
      <c r="F51" s="15">
        <f>SUM(E51/G12)*100</f>
        <v>63.636363636363633</v>
      </c>
      <c r="G51" s="17" t="str">
        <f t="shared" si="0"/>
        <v>_</v>
      </c>
      <c r="H51" s="17" t="str">
        <f t="shared" si="1"/>
        <v>/</v>
      </c>
      <c r="I51" s="17" t="str">
        <f t="shared" si="2"/>
        <v>_</v>
      </c>
    </row>
    <row r="52" spans="1:9" x14ac:dyDescent="0.35">
      <c r="A52" s="30">
        <v>36</v>
      </c>
      <c r="B52" s="27" t="s">
        <v>31</v>
      </c>
      <c r="C52" s="12">
        <v>5</v>
      </c>
      <c r="D52" s="15">
        <f>SUM(C52/G12)*100</f>
        <v>22.727272727272727</v>
      </c>
      <c r="E52" s="16">
        <f>SUM(-C52,G12)</f>
        <v>17</v>
      </c>
      <c r="F52" s="15">
        <f>SUM(E52/G12)*100</f>
        <v>77.272727272727266</v>
      </c>
      <c r="G52" s="17" t="str">
        <f t="shared" si="0"/>
        <v>_</v>
      </c>
      <c r="H52" s="17" t="str">
        <f t="shared" si="1"/>
        <v>_</v>
      </c>
      <c r="I52" s="17" t="str">
        <f t="shared" si="2"/>
        <v>/</v>
      </c>
    </row>
    <row r="53" spans="1:9" x14ac:dyDescent="0.35">
      <c r="A53" s="30">
        <v>37</v>
      </c>
      <c r="B53" s="27" t="s">
        <v>32</v>
      </c>
      <c r="C53" s="12">
        <v>10</v>
      </c>
      <c r="D53" s="15">
        <f>SUM(C53/G12)*100</f>
        <v>45.454545454545453</v>
      </c>
      <c r="E53" s="16">
        <f>SUM(-C53,G12)</f>
        <v>12</v>
      </c>
      <c r="F53" s="15">
        <f>SUM(E53/G12)*100</f>
        <v>54.54545454545454</v>
      </c>
      <c r="G53" s="17" t="str">
        <f t="shared" si="0"/>
        <v>_</v>
      </c>
      <c r="H53" s="17" t="str">
        <f t="shared" si="1"/>
        <v>/</v>
      </c>
      <c r="I53" s="17" t="str">
        <f t="shared" si="2"/>
        <v>_</v>
      </c>
    </row>
    <row r="54" spans="1:9" x14ac:dyDescent="0.35">
      <c r="A54" s="30">
        <v>38</v>
      </c>
      <c r="B54" s="27" t="s">
        <v>33</v>
      </c>
      <c r="C54" s="12">
        <v>13</v>
      </c>
      <c r="D54" s="15">
        <f>SUM(C54/G12)*100</f>
        <v>59.090909090909093</v>
      </c>
      <c r="E54" s="16">
        <f>SUM(-C54,G12)</f>
        <v>9</v>
      </c>
      <c r="F54" s="15">
        <f>SUM(E54/G12)*100</f>
        <v>40.909090909090914</v>
      </c>
      <c r="G54" s="17" t="str">
        <f t="shared" si="0"/>
        <v>/</v>
      </c>
      <c r="H54" s="17" t="str">
        <f t="shared" si="1"/>
        <v>_</v>
      </c>
      <c r="I54" s="17" t="str">
        <f t="shared" si="2"/>
        <v>_</v>
      </c>
    </row>
    <row r="55" spans="1:9" x14ac:dyDescent="0.35">
      <c r="A55" s="30">
        <v>39</v>
      </c>
      <c r="B55" s="27" t="s">
        <v>41</v>
      </c>
      <c r="C55" s="12">
        <v>7</v>
      </c>
      <c r="D55" s="15">
        <f>SUM(C55/G12)*100</f>
        <v>31.818181818181817</v>
      </c>
      <c r="E55" s="16">
        <f>SUM(-C55,G12)</f>
        <v>15</v>
      </c>
      <c r="F55" s="15">
        <f>SUM(E55/G12)*100</f>
        <v>68.181818181818173</v>
      </c>
      <c r="G55" s="17" t="str">
        <f t="shared" si="0"/>
        <v>_</v>
      </c>
      <c r="H55" s="17" t="str">
        <f t="shared" si="1"/>
        <v>/</v>
      </c>
      <c r="I55" s="17" t="str">
        <f t="shared" si="2"/>
        <v>_</v>
      </c>
    </row>
    <row r="56" spans="1:9" x14ac:dyDescent="0.35">
      <c r="A56" s="30">
        <v>40</v>
      </c>
      <c r="B56" s="27" t="s">
        <v>35</v>
      </c>
      <c r="C56" s="12">
        <v>5</v>
      </c>
      <c r="D56" s="15">
        <f>SUM(C56/G12)*100</f>
        <v>22.727272727272727</v>
      </c>
      <c r="E56" s="16">
        <f>SUM(-C56,G12)</f>
        <v>17</v>
      </c>
      <c r="F56" s="15">
        <f>SUM(E56/G12)*100</f>
        <v>77.272727272727266</v>
      </c>
      <c r="G56" s="17" t="str">
        <f t="shared" si="0"/>
        <v>_</v>
      </c>
      <c r="H56" s="17" t="str">
        <f t="shared" si="1"/>
        <v>_</v>
      </c>
      <c r="I56" s="17" t="str">
        <f t="shared" si="2"/>
        <v>/</v>
      </c>
    </row>
    <row r="57" spans="1:9" x14ac:dyDescent="0.35">
      <c r="A57" s="30">
        <v>41</v>
      </c>
      <c r="B57" s="27" t="s">
        <v>36</v>
      </c>
      <c r="C57" s="12">
        <v>9</v>
      </c>
      <c r="D57" s="15">
        <f>SUM(C57/G12)*100</f>
        <v>40.909090909090914</v>
      </c>
      <c r="E57" s="16">
        <f>SUM(-C57,G12)</f>
        <v>13</v>
      </c>
      <c r="F57" s="15">
        <f>SUM(E57/G12)*100</f>
        <v>59.090909090909093</v>
      </c>
      <c r="G57" s="17" t="str">
        <f t="shared" si="0"/>
        <v>_</v>
      </c>
      <c r="H57" s="17" t="str">
        <f t="shared" si="1"/>
        <v>/</v>
      </c>
      <c r="I57" s="17" t="str">
        <f t="shared" si="2"/>
        <v>_</v>
      </c>
    </row>
    <row r="58" spans="1:9" x14ac:dyDescent="0.35">
      <c r="A58" s="30">
        <v>42</v>
      </c>
      <c r="B58" s="27" t="s">
        <v>37</v>
      </c>
      <c r="C58" s="12">
        <v>3</v>
      </c>
      <c r="D58" s="15">
        <f>SUM(C58/G12)*100</f>
        <v>13.636363636363635</v>
      </c>
      <c r="E58" s="16">
        <f>SUM(-C58,G12)</f>
        <v>19</v>
      </c>
      <c r="F58" s="15">
        <f>SUM(E58/G12)*100</f>
        <v>86.36363636363636</v>
      </c>
      <c r="G58" s="17" t="str">
        <f t="shared" si="0"/>
        <v>_</v>
      </c>
      <c r="H58" s="17" t="str">
        <f t="shared" si="1"/>
        <v>_</v>
      </c>
      <c r="I58" s="17" t="str">
        <f t="shared" si="2"/>
        <v>/</v>
      </c>
    </row>
    <row r="59" spans="1:9" x14ac:dyDescent="0.35">
      <c r="A59" s="30">
        <v>43</v>
      </c>
      <c r="B59" s="27" t="s">
        <v>38</v>
      </c>
      <c r="C59" s="12">
        <v>4</v>
      </c>
      <c r="D59" s="15">
        <f>SUM(C59/G12)*100</f>
        <v>18.181818181818183</v>
      </c>
      <c r="E59" s="16">
        <f>SUM(-C59,G12)</f>
        <v>18</v>
      </c>
      <c r="F59" s="15">
        <f>SUM(E59/G12)*100</f>
        <v>81.818181818181827</v>
      </c>
      <c r="G59" s="17" t="str">
        <f t="shared" si="0"/>
        <v>_</v>
      </c>
      <c r="H59" s="17" t="str">
        <f t="shared" si="1"/>
        <v>_</v>
      </c>
      <c r="I59" s="17" t="str">
        <f t="shared" si="2"/>
        <v>/</v>
      </c>
    </row>
    <row r="60" spans="1:9" x14ac:dyDescent="0.35">
      <c r="A60" s="30">
        <v>44</v>
      </c>
      <c r="B60" s="27" t="s">
        <v>39</v>
      </c>
      <c r="C60" s="12">
        <v>1</v>
      </c>
      <c r="D60" s="15">
        <f>SUM(C60/G12)*100</f>
        <v>4.5454545454545459</v>
      </c>
      <c r="E60" s="16">
        <f>SUM(-C60,G12)</f>
        <v>21</v>
      </c>
      <c r="F60" s="15">
        <f>SUM(E60/G12)*100</f>
        <v>95.454545454545453</v>
      </c>
      <c r="G60" s="17" t="str">
        <f t="shared" si="0"/>
        <v>_</v>
      </c>
      <c r="H60" s="17" t="str">
        <f t="shared" si="1"/>
        <v>_</v>
      </c>
      <c r="I60" s="17" t="str">
        <f t="shared" si="2"/>
        <v>/</v>
      </c>
    </row>
    <row r="61" spans="1:9" x14ac:dyDescent="0.35">
      <c r="A61" s="30">
        <v>45</v>
      </c>
      <c r="B61" s="27" t="s">
        <v>32</v>
      </c>
      <c r="C61" s="12">
        <v>3</v>
      </c>
      <c r="D61" s="15">
        <f>SUM(C61/G12)*100</f>
        <v>13.636363636363635</v>
      </c>
      <c r="E61" s="16">
        <f>SUM(-C61,G12)</f>
        <v>19</v>
      </c>
      <c r="F61" s="15">
        <f>SUM(E61/G12)*100</f>
        <v>86.36363636363636</v>
      </c>
      <c r="G61" s="17" t="str">
        <f t="shared" si="0"/>
        <v>_</v>
      </c>
      <c r="H61" s="17" t="str">
        <f t="shared" si="1"/>
        <v>_</v>
      </c>
      <c r="I61" s="17" t="str">
        <f t="shared" si="2"/>
        <v>/</v>
      </c>
    </row>
    <row r="62" spans="1:9" x14ac:dyDescent="0.35">
      <c r="A62" s="30">
        <v>46</v>
      </c>
      <c r="B62" s="27" t="s">
        <v>29</v>
      </c>
      <c r="C62" s="12">
        <v>5</v>
      </c>
      <c r="D62" s="15">
        <f>SUM(C62/G12)*100</f>
        <v>22.727272727272727</v>
      </c>
      <c r="E62" s="16">
        <f>SUM(-C62,G12)</f>
        <v>17</v>
      </c>
      <c r="F62" s="15">
        <f>SUM(E62/G12)*100</f>
        <v>77.272727272727266</v>
      </c>
      <c r="G62" s="17" t="str">
        <f t="shared" si="0"/>
        <v>_</v>
      </c>
      <c r="H62" s="17" t="str">
        <f t="shared" si="1"/>
        <v>_</v>
      </c>
      <c r="I62" s="17" t="str">
        <f t="shared" si="2"/>
        <v>/</v>
      </c>
    </row>
    <row r="63" spans="1:9" x14ac:dyDescent="0.35">
      <c r="A63" s="30">
        <v>47</v>
      </c>
      <c r="B63" s="27" t="s">
        <v>39</v>
      </c>
      <c r="C63" s="12">
        <v>7</v>
      </c>
      <c r="D63" s="15">
        <f>SUM(C63/G12)*100</f>
        <v>31.818181818181817</v>
      </c>
      <c r="E63" s="16">
        <f>SUM(-C63,G12)</f>
        <v>15</v>
      </c>
      <c r="F63" s="15">
        <f>SUM(E63/G12)*100</f>
        <v>68.181818181818173</v>
      </c>
      <c r="G63" s="17" t="str">
        <f t="shared" si="0"/>
        <v>_</v>
      </c>
      <c r="H63" s="17" t="str">
        <f t="shared" si="1"/>
        <v>/</v>
      </c>
      <c r="I63" s="17" t="str">
        <f t="shared" si="2"/>
        <v>_</v>
      </c>
    </row>
    <row r="64" spans="1:9" x14ac:dyDescent="0.35">
      <c r="A64" s="30">
        <v>48</v>
      </c>
      <c r="B64" s="27" t="s">
        <v>36</v>
      </c>
      <c r="C64" s="12">
        <v>4</v>
      </c>
      <c r="D64" s="15">
        <f>SUM(C64/G12)*100</f>
        <v>18.181818181818183</v>
      </c>
      <c r="E64" s="16">
        <f>SUM(-C64,G12)</f>
        <v>18</v>
      </c>
      <c r="F64" s="15">
        <f>SUM(E64/G12)*100</f>
        <v>81.818181818181827</v>
      </c>
      <c r="G64" s="17" t="str">
        <f t="shared" si="0"/>
        <v>_</v>
      </c>
      <c r="H64" s="17" t="str">
        <f t="shared" si="1"/>
        <v>_</v>
      </c>
      <c r="I64" s="17" t="str">
        <f t="shared" si="2"/>
        <v>/</v>
      </c>
    </row>
    <row r="65" spans="1:9" x14ac:dyDescent="0.35">
      <c r="A65" s="30">
        <v>49</v>
      </c>
      <c r="B65" s="27" t="s">
        <v>37</v>
      </c>
      <c r="C65" s="12">
        <v>8</v>
      </c>
      <c r="D65" s="15">
        <f>SUM(C65/G12)*100</f>
        <v>36.363636363636367</v>
      </c>
      <c r="E65" s="16">
        <f>SUM(-C65,G12)</f>
        <v>14</v>
      </c>
      <c r="F65" s="15">
        <f>SUM(E65/G12)*100</f>
        <v>63.636363636363633</v>
      </c>
      <c r="G65" s="17" t="str">
        <f t="shared" si="0"/>
        <v>_</v>
      </c>
      <c r="H65" s="17" t="str">
        <f t="shared" si="1"/>
        <v>/</v>
      </c>
      <c r="I65" s="17" t="str">
        <f t="shared" si="2"/>
        <v>_</v>
      </c>
    </row>
    <row r="66" spans="1:9" x14ac:dyDescent="0.35">
      <c r="A66" s="30">
        <v>50</v>
      </c>
      <c r="B66" s="27" t="s">
        <v>41</v>
      </c>
      <c r="C66" s="12">
        <v>9</v>
      </c>
      <c r="D66" s="15">
        <f>SUM(C66/G12)*100</f>
        <v>40.909090909090914</v>
      </c>
      <c r="E66" s="16">
        <f>SUM(-C66,G12)</f>
        <v>13</v>
      </c>
      <c r="F66" s="15">
        <f>SUM(E66/G12)*100</f>
        <v>59.090909090909093</v>
      </c>
      <c r="G66" s="17" t="str">
        <f t="shared" si="0"/>
        <v>_</v>
      </c>
      <c r="H66" s="17" t="str">
        <f t="shared" si="1"/>
        <v>/</v>
      </c>
      <c r="I66" s="17" t="str">
        <f t="shared" si="2"/>
        <v>_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1" t="s">
        <v>13</v>
      </c>
      <c r="E68" s="61"/>
      <c r="F68" s="61"/>
    </row>
    <row r="69" spans="1:9" x14ac:dyDescent="0.35">
      <c r="A69" s="20"/>
      <c r="B69" s="20"/>
      <c r="C69" s="14"/>
      <c r="D69" s="20"/>
      <c r="E69" s="20"/>
      <c r="F69" s="20"/>
    </row>
    <row r="70" spans="1:9" ht="15.5" x14ac:dyDescent="0.35">
      <c r="F70" s="62" t="s">
        <v>68</v>
      </c>
      <c r="G70" s="63"/>
      <c r="H70" s="63"/>
    </row>
    <row r="71" spans="1:9" x14ac:dyDescent="0.35">
      <c r="F71" s="34" t="s">
        <v>26</v>
      </c>
      <c r="G71" s="34"/>
      <c r="H71" s="34"/>
    </row>
    <row r="73" spans="1:9" x14ac:dyDescent="0.35">
      <c r="B73" s="1" t="s">
        <v>40</v>
      </c>
    </row>
    <row r="74" spans="1:9" x14ac:dyDescent="0.35">
      <c r="B74" s="25" t="s">
        <v>69</v>
      </c>
    </row>
    <row r="75" spans="1:9" x14ac:dyDescent="0.35">
      <c r="B75" s="24" t="s">
        <v>70</v>
      </c>
    </row>
  </sheetData>
  <mergeCells count="22">
    <mergeCell ref="F71:H71"/>
    <mergeCell ref="A67:B67"/>
    <mergeCell ref="D67:F67"/>
    <mergeCell ref="F70:H70"/>
    <mergeCell ref="B14:B16"/>
    <mergeCell ref="A14:A16"/>
    <mergeCell ref="C14:C16"/>
    <mergeCell ref="D14:D16"/>
    <mergeCell ref="E14:E16"/>
    <mergeCell ref="F14:F16"/>
    <mergeCell ref="G14:I14"/>
    <mergeCell ref="D68:F68"/>
    <mergeCell ref="A9:I9"/>
    <mergeCell ref="C12:F12"/>
    <mergeCell ref="C13:F13"/>
    <mergeCell ref="A1:I1"/>
    <mergeCell ref="A2:I2"/>
    <mergeCell ref="A3:I3"/>
    <mergeCell ref="A4:I4"/>
    <mergeCell ref="A6:I6"/>
    <mergeCell ref="A10:I10"/>
    <mergeCell ref="A5:I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tabSelected="1" topLeftCell="A42" zoomScale="130" zoomScaleNormal="130" workbookViewId="0">
      <selection activeCell="F69" sqref="F69:H69"/>
    </sheetView>
  </sheetViews>
  <sheetFormatPr defaultColWidth="9.1796875" defaultRowHeight="14.5" x14ac:dyDescent="0.35"/>
  <cols>
    <col min="1" max="1" width="4" style="1" customWidth="1"/>
    <col min="2" max="2" width="42.81640625" style="1" customWidth="1"/>
    <col min="3" max="3" width="5.7265625" style="1" customWidth="1"/>
    <col min="4" max="4" width="3.7265625" style="1" customWidth="1"/>
    <col min="5" max="5" width="7.1796875" style="1" customWidth="1"/>
    <col min="6" max="6" width="3.7265625" style="1" customWidth="1"/>
    <col min="7" max="7" width="7" style="1" customWidth="1"/>
    <col min="8" max="8" width="7.179687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67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72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5">
      <c r="A12" s="4"/>
      <c r="B12" s="4" t="s">
        <v>73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64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65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66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x14ac:dyDescent="0.35">
      <c r="A17" s="11">
        <v>1</v>
      </c>
      <c r="B17" s="21" t="s">
        <v>22</v>
      </c>
      <c r="C17" s="12">
        <v>4</v>
      </c>
      <c r="D17" s="15">
        <f>SUM(C17/G12)*100</f>
        <v>18.181818181818183</v>
      </c>
      <c r="E17" s="16">
        <f>SUM(-C17,G12)</f>
        <v>18</v>
      </c>
      <c r="F17" s="15">
        <f>SUM(E17/G12)*100</f>
        <v>81.818181818181827</v>
      </c>
      <c r="G17" s="17" t="str">
        <f>IF(F17&gt;=75,"_",IF(F17&gt;=51,"_",IF(F17&gt;=1,"/")))</f>
        <v>_</v>
      </c>
      <c r="H17" s="17" t="str">
        <f>IF(F17&gt;=75,"_",IF(F17&gt;=51,"/",IF(F17&gt;=1,"_")))</f>
        <v>_</v>
      </c>
      <c r="I17" s="17" t="str">
        <f>IF(F17&gt;=75,"/",IF(F17&gt;=51,"_",IF(F17&gt;=1,"_")))</f>
        <v>/</v>
      </c>
    </row>
    <row r="18" spans="1:9" x14ac:dyDescent="0.35">
      <c r="A18" s="12">
        <v>2</v>
      </c>
      <c r="B18" s="21" t="s">
        <v>23</v>
      </c>
      <c r="C18" s="12">
        <v>0</v>
      </c>
      <c r="D18" s="15">
        <f>SUM(C18/G12)*100</f>
        <v>0</v>
      </c>
      <c r="E18" s="16">
        <f>SUM(-C18,G12)</f>
        <v>22</v>
      </c>
      <c r="F18" s="15">
        <f>SUM(E18/G12)*100</f>
        <v>100</v>
      </c>
      <c r="G18" s="17" t="str">
        <f t="shared" ref="G18:G66" si="0">IF(F18&gt;=75,"_",IF(F18&gt;=51,"_",IF(F18&gt;=1,"/")))</f>
        <v>_</v>
      </c>
      <c r="H18" s="17" t="str">
        <f t="shared" ref="H18:H66" si="1">IF(F18&gt;=75,"_",IF(F18&gt;=51,"/",IF(F18&gt;=1,"_")))</f>
        <v>_</v>
      </c>
      <c r="I18" s="17" t="str">
        <f t="shared" ref="I18:I66" si="2">IF(F18&gt;=75,"/",IF(F18&gt;=51,"_",IF(F18&gt;=1,"_")))</f>
        <v>/</v>
      </c>
    </row>
    <row r="19" spans="1:9" x14ac:dyDescent="0.35">
      <c r="A19" s="12">
        <v>3</v>
      </c>
      <c r="B19" s="21" t="s">
        <v>24</v>
      </c>
      <c r="C19" s="12">
        <v>8</v>
      </c>
      <c r="D19" s="15">
        <f>SUM(C19/G12)*100</f>
        <v>36.363636363636367</v>
      </c>
      <c r="E19" s="16">
        <f>SUM(-C19,G12)</f>
        <v>14</v>
      </c>
      <c r="F19" s="15">
        <f>SUM(E19/G12)*100</f>
        <v>63.636363636363633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12">
        <v>4</v>
      </c>
      <c r="B20" s="21" t="s">
        <v>23</v>
      </c>
      <c r="C20" s="12">
        <v>5</v>
      </c>
      <c r="D20" s="15">
        <f>SUM(C20/G12)*100</f>
        <v>22.727272727272727</v>
      </c>
      <c r="E20" s="16">
        <f>SUM(-C20,G12)</f>
        <v>17</v>
      </c>
      <c r="F20" s="15">
        <f>SUM(E20/G12)*100</f>
        <v>77.272727272727266</v>
      </c>
      <c r="G20" s="17" t="str">
        <f t="shared" si="0"/>
        <v>_</v>
      </c>
      <c r="H20" s="17" t="str">
        <f t="shared" si="1"/>
        <v>_</v>
      </c>
      <c r="I20" s="17" t="str">
        <f t="shared" si="2"/>
        <v>/</v>
      </c>
    </row>
    <row r="21" spans="1:9" x14ac:dyDescent="0.35">
      <c r="A21" s="12">
        <v>5</v>
      </c>
      <c r="B21" s="21" t="s">
        <v>22</v>
      </c>
      <c r="C21" s="12">
        <v>7</v>
      </c>
      <c r="D21" s="15">
        <f>SUM(C21/G12)*100</f>
        <v>31.818181818181817</v>
      </c>
      <c r="E21" s="16">
        <f>SUM(-C21,G12)</f>
        <v>15</v>
      </c>
      <c r="F21" s="15">
        <f>SUM(E21/G12)*100</f>
        <v>68.181818181818173</v>
      </c>
      <c r="G21" s="17" t="str">
        <f t="shared" si="0"/>
        <v>_</v>
      </c>
      <c r="H21" s="17" t="str">
        <f t="shared" si="1"/>
        <v>/</v>
      </c>
      <c r="I21" s="17" t="str">
        <f t="shared" si="2"/>
        <v>_</v>
      </c>
    </row>
    <row r="22" spans="1:9" x14ac:dyDescent="0.35">
      <c r="A22" s="12">
        <v>6</v>
      </c>
      <c r="B22" s="21" t="s">
        <v>24</v>
      </c>
      <c r="C22" s="12">
        <v>2</v>
      </c>
      <c r="D22" s="15">
        <f>SUM(C22/G12)*100</f>
        <v>9.0909090909090917</v>
      </c>
      <c r="E22" s="16">
        <f>SUM(-C22,G12)</f>
        <v>20</v>
      </c>
      <c r="F22" s="15">
        <f>SUM(E22/G12)*100</f>
        <v>90.909090909090907</v>
      </c>
      <c r="G22" s="17" t="str">
        <f t="shared" si="0"/>
        <v>_</v>
      </c>
      <c r="H22" s="17" t="str">
        <f t="shared" si="1"/>
        <v>_</v>
      </c>
      <c r="I22" s="17" t="str">
        <f t="shared" si="2"/>
        <v>/</v>
      </c>
    </row>
    <row r="23" spans="1:9" x14ac:dyDescent="0.35">
      <c r="A23" s="12">
        <v>7</v>
      </c>
      <c r="B23" s="21" t="s">
        <v>23</v>
      </c>
      <c r="C23" s="12">
        <v>0</v>
      </c>
      <c r="D23" s="15">
        <f>SUM(C23/G12)*100</f>
        <v>0</v>
      </c>
      <c r="E23" s="16">
        <f>SUM(-C23,G12)</f>
        <v>22</v>
      </c>
      <c r="F23" s="15">
        <f>SUM(E23/G12)*100</f>
        <v>100</v>
      </c>
      <c r="G23" s="17" t="str">
        <f t="shared" si="0"/>
        <v>_</v>
      </c>
      <c r="H23" s="17" t="str">
        <f t="shared" si="1"/>
        <v>_</v>
      </c>
      <c r="I23" s="17" t="str">
        <f t="shared" si="2"/>
        <v>/</v>
      </c>
    </row>
    <row r="24" spans="1:9" x14ac:dyDescent="0.35">
      <c r="A24" s="12">
        <v>8</v>
      </c>
      <c r="B24" s="21" t="s">
        <v>24</v>
      </c>
      <c r="C24" s="12">
        <v>5</v>
      </c>
      <c r="D24" s="15">
        <f>SUM(C24/G12)*100</f>
        <v>22.727272727272727</v>
      </c>
      <c r="E24" s="16">
        <f>SUM(-C24,G12)</f>
        <v>17</v>
      </c>
      <c r="F24" s="15">
        <f>SUM(E24/G12)*100</f>
        <v>77.272727272727266</v>
      </c>
      <c r="G24" s="17" t="str">
        <f t="shared" si="0"/>
        <v>_</v>
      </c>
      <c r="H24" s="17" t="str">
        <f t="shared" si="1"/>
        <v>_</v>
      </c>
      <c r="I24" s="17" t="str">
        <f t="shared" si="2"/>
        <v>/</v>
      </c>
    </row>
    <row r="25" spans="1:9" x14ac:dyDescent="0.35">
      <c r="A25" s="12">
        <v>9</v>
      </c>
      <c r="B25" s="21" t="s">
        <v>22</v>
      </c>
      <c r="C25" s="12">
        <v>3</v>
      </c>
      <c r="D25" s="15">
        <f>SUM(C25/G12)*100</f>
        <v>13.636363636363635</v>
      </c>
      <c r="E25" s="16">
        <f>SUM(-C25,G12)</f>
        <v>19</v>
      </c>
      <c r="F25" s="15">
        <f>SUM(E25/G12)*100</f>
        <v>86.36363636363636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x14ac:dyDescent="0.35">
      <c r="A26" s="12">
        <v>10</v>
      </c>
      <c r="B26" s="21" t="s">
        <v>24</v>
      </c>
      <c r="C26" s="12">
        <v>2</v>
      </c>
      <c r="D26" s="15">
        <f>SUM(C26/G12)*100</f>
        <v>9.0909090909090917</v>
      </c>
      <c r="E26" s="16">
        <f>SUM(-C26,G12)</f>
        <v>20</v>
      </c>
      <c r="F26" s="15">
        <f>SUM(E26/G12)*100</f>
        <v>90.909090909090907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x14ac:dyDescent="0.35">
      <c r="A27" s="12">
        <v>11</v>
      </c>
      <c r="B27" s="21" t="s">
        <v>23</v>
      </c>
      <c r="C27" s="12">
        <v>8</v>
      </c>
      <c r="D27" s="15">
        <f>SUM(C27/G12)*100</f>
        <v>36.363636363636367</v>
      </c>
      <c r="E27" s="16">
        <v>18</v>
      </c>
      <c r="F27" s="15">
        <f>SUM(E27/G12)*100</f>
        <v>81.818181818181827</v>
      </c>
      <c r="G27" s="17" t="str">
        <f t="shared" si="0"/>
        <v>_</v>
      </c>
      <c r="H27" s="17" t="str">
        <f t="shared" si="1"/>
        <v>_</v>
      </c>
      <c r="I27" s="17" t="str">
        <f t="shared" si="2"/>
        <v>/</v>
      </c>
    </row>
    <row r="28" spans="1:9" x14ac:dyDescent="0.35">
      <c r="A28" s="12">
        <v>12</v>
      </c>
      <c r="B28" s="21" t="s">
        <v>23</v>
      </c>
      <c r="C28" s="12">
        <v>7</v>
      </c>
      <c r="D28" s="15">
        <f>SUM(C28/G12)*100</f>
        <v>31.818181818181817</v>
      </c>
      <c r="E28" s="16">
        <f>SUM(-C28,G12)</f>
        <v>15</v>
      </c>
      <c r="F28" s="15">
        <f>SUM(E28/G12)*100</f>
        <v>68.181818181818173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x14ac:dyDescent="0.35">
      <c r="A29" s="12">
        <v>13</v>
      </c>
      <c r="B29" s="21" t="s">
        <v>22</v>
      </c>
      <c r="C29" s="12">
        <v>3</v>
      </c>
      <c r="D29" s="15">
        <f>SUM(C29/G12)*100</f>
        <v>13.636363636363635</v>
      </c>
      <c r="E29" s="16">
        <f>SUM(-C29,G12)</f>
        <v>19</v>
      </c>
      <c r="F29" s="15">
        <f>SUM(E29/G12)*100</f>
        <v>86.36363636363636</v>
      </c>
      <c r="G29" s="17" t="str">
        <f t="shared" si="0"/>
        <v>_</v>
      </c>
      <c r="H29" s="17" t="str">
        <f t="shared" si="1"/>
        <v>_</v>
      </c>
      <c r="I29" s="17" t="str">
        <f t="shared" si="2"/>
        <v>/</v>
      </c>
    </row>
    <row r="30" spans="1:9" x14ac:dyDescent="0.35">
      <c r="A30" s="12">
        <v>14</v>
      </c>
      <c r="B30" s="21" t="s">
        <v>24</v>
      </c>
      <c r="C30" s="12">
        <v>12</v>
      </c>
      <c r="D30" s="15">
        <f>SUM(C30/G12)*100</f>
        <v>54.54545454545454</v>
      </c>
      <c r="E30" s="16">
        <f>SUM(-C30,G12)</f>
        <v>10</v>
      </c>
      <c r="F30" s="15">
        <f>SUM(E30/G12)*100</f>
        <v>45.454545454545453</v>
      </c>
      <c r="G30" s="17" t="str">
        <f t="shared" si="0"/>
        <v>/</v>
      </c>
      <c r="H30" s="17" t="str">
        <f t="shared" si="1"/>
        <v>_</v>
      </c>
      <c r="I30" s="17" t="str">
        <f t="shared" si="2"/>
        <v>_</v>
      </c>
    </row>
    <row r="31" spans="1:9" x14ac:dyDescent="0.35">
      <c r="A31" s="12">
        <v>15</v>
      </c>
      <c r="B31" s="21" t="s">
        <v>24</v>
      </c>
      <c r="C31" s="12">
        <v>3</v>
      </c>
      <c r="D31" s="15">
        <f>SUM(C31/G12)*100</f>
        <v>13.636363636363635</v>
      </c>
      <c r="E31" s="16">
        <f>SUM(-C31,G12)</f>
        <v>19</v>
      </c>
      <c r="F31" s="15">
        <f>SUM(E31/G12)*100</f>
        <v>86.36363636363636</v>
      </c>
      <c r="G31" s="17" t="str">
        <f t="shared" si="0"/>
        <v>_</v>
      </c>
      <c r="H31" s="17" t="str">
        <f t="shared" si="1"/>
        <v>_</v>
      </c>
      <c r="I31" s="17" t="str">
        <f t="shared" si="2"/>
        <v>/</v>
      </c>
    </row>
    <row r="32" spans="1:9" x14ac:dyDescent="0.35">
      <c r="A32" s="12">
        <v>16</v>
      </c>
      <c r="B32" s="21" t="s">
        <v>23</v>
      </c>
      <c r="C32" s="12">
        <v>6</v>
      </c>
      <c r="D32" s="15">
        <f>SUM(C32/G12)*100</f>
        <v>27.27272727272727</v>
      </c>
      <c r="E32" s="16">
        <f>SUM(-C32,G12)</f>
        <v>16</v>
      </c>
      <c r="F32" s="15">
        <f>SUM(E32/G12)*100</f>
        <v>72.727272727272734</v>
      </c>
      <c r="G32" s="17" t="str">
        <f t="shared" si="0"/>
        <v>_</v>
      </c>
      <c r="H32" s="17" t="str">
        <f t="shared" si="1"/>
        <v>/</v>
      </c>
      <c r="I32" s="17" t="str">
        <f t="shared" si="2"/>
        <v>_</v>
      </c>
    </row>
    <row r="33" spans="1:9" x14ac:dyDescent="0.35">
      <c r="A33" s="12">
        <v>17</v>
      </c>
      <c r="B33" s="21" t="s">
        <v>24</v>
      </c>
      <c r="C33" s="12">
        <v>9</v>
      </c>
      <c r="D33" s="15">
        <f>SUM(C33/G12)*100</f>
        <v>40.909090909090914</v>
      </c>
      <c r="E33" s="16">
        <f>SUM(-C33,G12)</f>
        <v>13</v>
      </c>
      <c r="F33" s="15">
        <f>SUM(E33/G12)*100</f>
        <v>59.090909090909093</v>
      </c>
      <c r="G33" s="17" t="str">
        <f t="shared" si="0"/>
        <v>_</v>
      </c>
      <c r="H33" s="17" t="str">
        <f t="shared" si="1"/>
        <v>/</v>
      </c>
      <c r="I33" s="17" t="str">
        <f t="shared" si="2"/>
        <v>_</v>
      </c>
    </row>
    <row r="34" spans="1:9" x14ac:dyDescent="0.35">
      <c r="A34" s="12">
        <v>18</v>
      </c>
      <c r="B34" s="21" t="s">
        <v>22</v>
      </c>
      <c r="C34" s="12">
        <v>0</v>
      </c>
      <c r="D34" s="15">
        <f>SUM(C34/G12)*100</f>
        <v>0</v>
      </c>
      <c r="E34" s="16">
        <f>SUM(-C34,G12)</f>
        <v>22</v>
      </c>
      <c r="F34" s="15">
        <f>SUM(E34/G12)*100</f>
        <v>100</v>
      </c>
      <c r="G34" s="17" t="str">
        <f t="shared" si="0"/>
        <v>_</v>
      </c>
      <c r="H34" s="17" t="str">
        <f t="shared" si="1"/>
        <v>_</v>
      </c>
      <c r="I34" s="17" t="str">
        <f t="shared" si="2"/>
        <v>/</v>
      </c>
    </row>
    <row r="35" spans="1:9" x14ac:dyDescent="0.35">
      <c r="A35" s="12">
        <v>19</v>
      </c>
      <c r="B35" s="21" t="s">
        <v>24</v>
      </c>
      <c r="C35" s="12">
        <v>0</v>
      </c>
      <c r="D35" s="15">
        <f>SUM(C35/G12)*100</f>
        <v>0</v>
      </c>
      <c r="E35" s="16">
        <f>SUM(-C35,G12)</f>
        <v>22</v>
      </c>
      <c r="F35" s="15">
        <f>SUM(E35/G12)*100</f>
        <v>100</v>
      </c>
      <c r="G35" s="17" t="str">
        <f t="shared" si="0"/>
        <v>_</v>
      </c>
      <c r="H35" s="17" t="str">
        <f t="shared" si="1"/>
        <v>_</v>
      </c>
      <c r="I35" s="17" t="str">
        <f t="shared" si="2"/>
        <v>/</v>
      </c>
    </row>
    <row r="36" spans="1:9" x14ac:dyDescent="0.35">
      <c r="A36" s="12">
        <v>20</v>
      </c>
      <c r="B36" s="21" t="s">
        <v>24</v>
      </c>
      <c r="C36" s="12">
        <v>3</v>
      </c>
      <c r="D36" s="15">
        <f>SUM(C36/G12)*100</f>
        <v>13.636363636363635</v>
      </c>
      <c r="E36" s="16">
        <f>SUM(-C36,G12)</f>
        <v>19</v>
      </c>
      <c r="F36" s="15">
        <f>SUM(E36/G12)*100</f>
        <v>86.36363636363636</v>
      </c>
      <c r="G36" s="17" t="str">
        <f t="shared" si="0"/>
        <v>_</v>
      </c>
      <c r="H36" s="17" t="str">
        <f t="shared" si="1"/>
        <v>_</v>
      </c>
      <c r="I36" s="17" t="str">
        <f t="shared" si="2"/>
        <v>/</v>
      </c>
    </row>
    <row r="37" spans="1:9" x14ac:dyDescent="0.35">
      <c r="A37" s="12">
        <v>21</v>
      </c>
      <c r="B37" s="21" t="s">
        <v>23</v>
      </c>
      <c r="C37" s="12">
        <v>2</v>
      </c>
      <c r="D37" s="15">
        <f>SUM(C37/G12)*100</f>
        <v>9.0909090909090917</v>
      </c>
      <c r="E37" s="16">
        <f>SUM(-C37,G12)</f>
        <v>20</v>
      </c>
      <c r="F37" s="15">
        <f>SUM(E37/G12)*100</f>
        <v>90.909090909090907</v>
      </c>
      <c r="G37" s="17" t="str">
        <f t="shared" si="0"/>
        <v>_</v>
      </c>
      <c r="H37" s="17" t="str">
        <f t="shared" si="1"/>
        <v>_</v>
      </c>
      <c r="I37" s="17" t="str">
        <f t="shared" si="2"/>
        <v>/</v>
      </c>
    </row>
    <row r="38" spans="1:9" x14ac:dyDescent="0.35">
      <c r="A38" s="13">
        <v>22</v>
      </c>
      <c r="B38" s="21" t="s">
        <v>24</v>
      </c>
      <c r="C38" s="12">
        <v>6</v>
      </c>
      <c r="D38" s="15">
        <f>SUM(C38/G12)*100</f>
        <v>27.27272727272727</v>
      </c>
      <c r="E38" s="16">
        <f>SUM(-C38,G12)</f>
        <v>16</v>
      </c>
      <c r="F38" s="15">
        <f>SUM(E38/G12)*100</f>
        <v>72.727272727272734</v>
      </c>
      <c r="G38" s="17" t="str">
        <f t="shared" si="0"/>
        <v>_</v>
      </c>
      <c r="H38" s="17" t="str">
        <f t="shared" si="1"/>
        <v>/</v>
      </c>
      <c r="I38" s="17" t="str">
        <f t="shared" si="2"/>
        <v>_</v>
      </c>
    </row>
    <row r="39" spans="1:9" x14ac:dyDescent="0.35">
      <c r="A39" s="13">
        <v>23</v>
      </c>
      <c r="B39" s="21" t="s">
        <v>22</v>
      </c>
      <c r="C39" s="12">
        <v>10</v>
      </c>
      <c r="D39" s="15">
        <f>SUM(C39/G12)*100</f>
        <v>45.454545454545453</v>
      </c>
      <c r="E39" s="16">
        <f>SUM(-C39,G12)</f>
        <v>12</v>
      </c>
      <c r="F39" s="15">
        <f>SUM(E39/G12)*100</f>
        <v>54.54545454545454</v>
      </c>
      <c r="G39" s="17" t="str">
        <f t="shared" si="0"/>
        <v>_</v>
      </c>
      <c r="H39" s="17" t="str">
        <f t="shared" si="1"/>
        <v>/</v>
      </c>
      <c r="I39" s="17" t="str">
        <f t="shared" si="2"/>
        <v>_</v>
      </c>
    </row>
    <row r="40" spans="1:9" x14ac:dyDescent="0.35">
      <c r="A40" s="13">
        <v>24</v>
      </c>
      <c r="B40" s="21" t="s">
        <v>24</v>
      </c>
      <c r="C40" s="12">
        <v>4</v>
      </c>
      <c r="D40" s="15">
        <f>SUM(C40/G12)*100</f>
        <v>18.181818181818183</v>
      </c>
      <c r="E40" s="16">
        <f>SUM(-C40,G12)</f>
        <v>18</v>
      </c>
      <c r="F40" s="15">
        <f>SUM(E40/G12)*100</f>
        <v>81.818181818181827</v>
      </c>
      <c r="G40" s="17" t="str">
        <f t="shared" si="0"/>
        <v>_</v>
      </c>
      <c r="H40" s="17" t="str">
        <f t="shared" si="1"/>
        <v>_</v>
      </c>
      <c r="I40" s="17" t="str">
        <f t="shared" si="2"/>
        <v>/</v>
      </c>
    </row>
    <row r="41" spans="1:9" x14ac:dyDescent="0.35">
      <c r="A41" s="13">
        <v>25</v>
      </c>
      <c r="B41" s="21" t="s">
        <v>22</v>
      </c>
      <c r="C41" s="12">
        <v>2</v>
      </c>
      <c r="D41" s="15">
        <f>SUM(C41/G12)*100</f>
        <v>9.0909090909090917</v>
      </c>
      <c r="E41" s="16">
        <f>SUM(-C41,G12)</f>
        <v>20</v>
      </c>
      <c r="F41" s="15">
        <f>SUM(E41/G12)*100</f>
        <v>90.909090909090907</v>
      </c>
      <c r="G41" s="17" t="str">
        <f t="shared" si="0"/>
        <v>_</v>
      </c>
      <c r="H41" s="17" t="str">
        <f t="shared" si="1"/>
        <v>_</v>
      </c>
      <c r="I41" s="17" t="str">
        <f t="shared" si="2"/>
        <v>/</v>
      </c>
    </row>
    <row r="42" spans="1:9" x14ac:dyDescent="0.35">
      <c r="A42" s="13">
        <v>26</v>
      </c>
      <c r="B42" s="21" t="s">
        <v>23</v>
      </c>
      <c r="C42" s="12">
        <v>9</v>
      </c>
      <c r="D42" s="15">
        <f>SUM(C42/G12)*100</f>
        <v>40.909090909090914</v>
      </c>
      <c r="E42" s="16">
        <f>SUM(-C42,G12)</f>
        <v>13</v>
      </c>
      <c r="F42" s="15">
        <f>SUM(E42/G12)*100</f>
        <v>59.090909090909093</v>
      </c>
      <c r="G42" s="17" t="str">
        <f t="shared" si="0"/>
        <v>_</v>
      </c>
      <c r="H42" s="17" t="str">
        <f t="shared" si="1"/>
        <v>/</v>
      </c>
      <c r="I42" s="17" t="str">
        <f t="shared" si="2"/>
        <v>_</v>
      </c>
    </row>
    <row r="43" spans="1:9" x14ac:dyDescent="0.35">
      <c r="A43" s="13">
        <v>27</v>
      </c>
      <c r="B43" s="21" t="s">
        <v>24</v>
      </c>
      <c r="C43" s="12">
        <v>11</v>
      </c>
      <c r="D43" s="15">
        <f>SUM(C43/G12)*100</f>
        <v>50</v>
      </c>
      <c r="E43" s="16">
        <f>SUM(-C43,G12)</f>
        <v>11</v>
      </c>
      <c r="F43" s="15">
        <f>SUM(E43/G12)*100</f>
        <v>50</v>
      </c>
      <c r="G43" s="17" t="str">
        <f t="shared" si="0"/>
        <v>/</v>
      </c>
      <c r="H43" s="17" t="str">
        <f t="shared" si="1"/>
        <v>_</v>
      </c>
      <c r="I43" s="17" t="str">
        <f t="shared" si="2"/>
        <v>_</v>
      </c>
    </row>
    <row r="44" spans="1:9" x14ac:dyDescent="0.35">
      <c r="A44" s="13">
        <v>28</v>
      </c>
      <c r="B44" s="21" t="s">
        <v>23</v>
      </c>
      <c r="C44" s="12">
        <v>2</v>
      </c>
      <c r="D44" s="15">
        <f>SUM(C44/G12)*100</f>
        <v>9.0909090909090917</v>
      </c>
      <c r="E44" s="16">
        <f>SUM(-C44,G12)</f>
        <v>20</v>
      </c>
      <c r="F44" s="15">
        <f>SUM(E44/G12)*100</f>
        <v>90.909090909090907</v>
      </c>
      <c r="G44" s="17" t="str">
        <f t="shared" si="0"/>
        <v>_</v>
      </c>
      <c r="H44" s="17" t="str">
        <f t="shared" si="1"/>
        <v>_</v>
      </c>
      <c r="I44" s="17" t="str">
        <f t="shared" si="2"/>
        <v>/</v>
      </c>
    </row>
    <row r="45" spans="1:9" x14ac:dyDescent="0.35">
      <c r="A45" s="13">
        <v>29</v>
      </c>
      <c r="B45" s="21" t="s">
        <v>22</v>
      </c>
      <c r="C45" s="12">
        <v>1</v>
      </c>
      <c r="D45" s="15">
        <f>SUM(C45/G12)*100</f>
        <v>4.5454545454545459</v>
      </c>
      <c r="E45" s="16">
        <f>SUM(-C45,G12)</f>
        <v>21</v>
      </c>
      <c r="F45" s="15">
        <f>SUM(E45/G12)*100</f>
        <v>95.454545454545453</v>
      </c>
      <c r="G45" s="17" t="str">
        <f t="shared" si="0"/>
        <v>_</v>
      </c>
      <c r="H45" s="17" t="str">
        <f t="shared" si="1"/>
        <v>_</v>
      </c>
      <c r="I45" s="17" t="str">
        <f t="shared" si="2"/>
        <v>/</v>
      </c>
    </row>
    <row r="46" spans="1:9" x14ac:dyDescent="0.35">
      <c r="A46" s="13">
        <v>30</v>
      </c>
      <c r="B46" s="21" t="s">
        <v>23</v>
      </c>
      <c r="C46" s="12">
        <v>4</v>
      </c>
      <c r="D46" s="15">
        <f>SUM(C46/G12)*100</f>
        <v>18.181818181818183</v>
      </c>
      <c r="E46" s="16">
        <f>SUM(-C46,G12)</f>
        <v>18</v>
      </c>
      <c r="F46" s="15">
        <f>SUM(E46/G12)*100</f>
        <v>81.818181818181827</v>
      </c>
      <c r="G46" s="17" t="str">
        <f t="shared" si="0"/>
        <v>_</v>
      </c>
      <c r="H46" s="17" t="str">
        <f t="shared" si="1"/>
        <v>_</v>
      </c>
      <c r="I46" s="17" t="str">
        <f t="shared" si="2"/>
        <v>/</v>
      </c>
    </row>
    <row r="47" spans="1:9" x14ac:dyDescent="0.35">
      <c r="A47" s="13">
        <v>31</v>
      </c>
      <c r="B47" s="21" t="s">
        <v>24</v>
      </c>
      <c r="C47" s="12">
        <v>3</v>
      </c>
      <c r="D47" s="15">
        <f>SUM(C47/G12)*100</f>
        <v>13.636363636363635</v>
      </c>
      <c r="E47" s="16">
        <f>SUM(-C47,G12)</f>
        <v>19</v>
      </c>
      <c r="F47" s="15">
        <f>SUM(E47/G12)*100</f>
        <v>86.36363636363636</v>
      </c>
      <c r="G47" s="17" t="str">
        <f t="shared" si="0"/>
        <v>_</v>
      </c>
      <c r="H47" s="17" t="str">
        <f t="shared" si="1"/>
        <v>_</v>
      </c>
      <c r="I47" s="17" t="str">
        <f t="shared" si="2"/>
        <v>/</v>
      </c>
    </row>
    <row r="48" spans="1:9" x14ac:dyDescent="0.35">
      <c r="A48" s="13">
        <v>32</v>
      </c>
      <c r="B48" s="21" t="s">
        <v>23</v>
      </c>
      <c r="C48" s="12">
        <v>6</v>
      </c>
      <c r="D48" s="15">
        <f>SUM(C48/G12)*100</f>
        <v>27.27272727272727</v>
      </c>
      <c r="E48" s="16">
        <f>SUM(-C48,G12)</f>
        <v>16</v>
      </c>
      <c r="F48" s="15">
        <f>SUM(E48/G12)*100</f>
        <v>72.727272727272734</v>
      </c>
      <c r="G48" s="17" t="str">
        <f t="shared" si="0"/>
        <v>_</v>
      </c>
      <c r="H48" s="17" t="str">
        <f t="shared" si="1"/>
        <v>/</v>
      </c>
      <c r="I48" s="17" t="str">
        <f t="shared" si="2"/>
        <v>_</v>
      </c>
    </row>
    <row r="49" spans="1:9" x14ac:dyDescent="0.35">
      <c r="A49" s="13">
        <v>33</v>
      </c>
      <c r="B49" s="21" t="s">
        <v>22</v>
      </c>
      <c r="C49" s="12">
        <v>8</v>
      </c>
      <c r="D49" s="15">
        <f>SUM(C49/G12)*100</f>
        <v>36.363636363636367</v>
      </c>
      <c r="E49" s="16">
        <f>SUM(-C49,G12)</f>
        <v>14</v>
      </c>
      <c r="F49" s="15">
        <f>SUM(E49/G12)*100</f>
        <v>63.636363636363633</v>
      </c>
      <c r="G49" s="17" t="str">
        <f t="shared" si="0"/>
        <v>_</v>
      </c>
      <c r="H49" s="17" t="str">
        <f t="shared" si="1"/>
        <v>/</v>
      </c>
      <c r="I49" s="17" t="str">
        <f t="shared" si="2"/>
        <v>_</v>
      </c>
    </row>
    <row r="50" spans="1:9" x14ac:dyDescent="0.35">
      <c r="A50" s="13">
        <v>34</v>
      </c>
      <c r="B50" s="21" t="s">
        <v>24</v>
      </c>
      <c r="C50" s="12">
        <v>2</v>
      </c>
      <c r="D50" s="15">
        <f>SUM(C50/G12)*100</f>
        <v>9.0909090909090917</v>
      </c>
      <c r="E50" s="16">
        <f>SUM(-C50,G12)</f>
        <v>20</v>
      </c>
      <c r="F50" s="15">
        <f>SUM(E50/G12)*100</f>
        <v>90.909090909090907</v>
      </c>
      <c r="G50" s="17" t="str">
        <f t="shared" si="0"/>
        <v>_</v>
      </c>
      <c r="H50" s="17" t="str">
        <f t="shared" si="1"/>
        <v>_</v>
      </c>
      <c r="I50" s="17" t="str">
        <f t="shared" si="2"/>
        <v>/</v>
      </c>
    </row>
    <row r="51" spans="1:9" x14ac:dyDescent="0.35">
      <c r="A51" s="13">
        <v>35</v>
      </c>
      <c r="B51" s="21" t="s">
        <v>23</v>
      </c>
      <c r="C51" s="12">
        <v>0</v>
      </c>
      <c r="D51" s="15">
        <f>SUM(C51/G12)*100</f>
        <v>0</v>
      </c>
      <c r="E51" s="16">
        <f>SUM(-C51,G12)</f>
        <v>22</v>
      </c>
      <c r="F51" s="15">
        <f>SUM(E51/G12)*100</f>
        <v>100</v>
      </c>
      <c r="G51" s="17" t="str">
        <f t="shared" si="0"/>
        <v>_</v>
      </c>
      <c r="H51" s="17" t="str">
        <f t="shared" si="1"/>
        <v>_</v>
      </c>
      <c r="I51" s="17" t="str">
        <f t="shared" si="2"/>
        <v>/</v>
      </c>
    </row>
    <row r="52" spans="1:9" x14ac:dyDescent="0.35">
      <c r="A52" s="13">
        <v>36</v>
      </c>
      <c r="B52" s="21" t="s">
        <v>24</v>
      </c>
      <c r="C52" s="12">
        <v>9</v>
      </c>
      <c r="D52" s="15">
        <f>SUM(C52/G12)*100</f>
        <v>40.909090909090914</v>
      </c>
      <c r="E52" s="16">
        <f>SUM(-C52,G12)</f>
        <v>13</v>
      </c>
      <c r="F52" s="15">
        <f>SUM(E52/G12)*100</f>
        <v>59.090909090909093</v>
      </c>
      <c r="G52" s="17" t="str">
        <f t="shared" si="0"/>
        <v>_</v>
      </c>
      <c r="H52" s="17" t="str">
        <f t="shared" si="1"/>
        <v>/</v>
      </c>
      <c r="I52" s="17" t="str">
        <f t="shared" si="2"/>
        <v>_</v>
      </c>
    </row>
    <row r="53" spans="1:9" x14ac:dyDescent="0.35">
      <c r="A53" s="13">
        <v>37</v>
      </c>
      <c r="B53" s="21" t="s">
        <v>22</v>
      </c>
      <c r="C53" s="12">
        <v>3</v>
      </c>
      <c r="D53" s="15">
        <f>SUM(C53/G12)*100</f>
        <v>13.636363636363635</v>
      </c>
      <c r="E53" s="16">
        <f>SUM(-C53,G12)</f>
        <v>19</v>
      </c>
      <c r="F53" s="15">
        <f>SUM(E53/G12)*100</f>
        <v>86.36363636363636</v>
      </c>
      <c r="G53" s="17" t="str">
        <f t="shared" si="0"/>
        <v>_</v>
      </c>
      <c r="H53" s="17" t="str">
        <f t="shared" si="1"/>
        <v>_</v>
      </c>
      <c r="I53" s="17" t="str">
        <f t="shared" si="2"/>
        <v>/</v>
      </c>
    </row>
    <row r="54" spans="1:9" x14ac:dyDescent="0.35">
      <c r="A54" s="13">
        <v>38</v>
      </c>
      <c r="B54" s="21" t="s">
        <v>24</v>
      </c>
      <c r="C54" s="12">
        <v>12</v>
      </c>
      <c r="D54" s="15">
        <f>SUM(C54/G12)*100</f>
        <v>54.54545454545454</v>
      </c>
      <c r="E54" s="16">
        <v>20</v>
      </c>
      <c r="F54" s="15">
        <f>SUM(E54/G12)*100</f>
        <v>90.909090909090907</v>
      </c>
      <c r="G54" s="17" t="str">
        <f t="shared" si="0"/>
        <v>_</v>
      </c>
      <c r="H54" s="17" t="str">
        <f t="shared" si="1"/>
        <v>_</v>
      </c>
      <c r="I54" s="17" t="str">
        <f t="shared" si="2"/>
        <v>/</v>
      </c>
    </row>
    <row r="55" spans="1:9" x14ac:dyDescent="0.35">
      <c r="A55" s="13">
        <v>39</v>
      </c>
      <c r="B55" s="21" t="s">
        <v>22</v>
      </c>
      <c r="C55" s="12">
        <v>1</v>
      </c>
      <c r="D55" s="15">
        <f>SUM(C55/G12)*100</f>
        <v>4.5454545454545459</v>
      </c>
      <c r="E55" s="16">
        <f>SUM(-C55,G12)</f>
        <v>21</v>
      </c>
      <c r="F55" s="15">
        <f>SUM(E55/G12)*100</f>
        <v>95.454545454545453</v>
      </c>
      <c r="G55" s="17" t="str">
        <f t="shared" si="0"/>
        <v>_</v>
      </c>
      <c r="H55" s="17" t="str">
        <f t="shared" si="1"/>
        <v>_</v>
      </c>
      <c r="I55" s="17" t="str">
        <f t="shared" si="2"/>
        <v>/</v>
      </c>
    </row>
    <row r="56" spans="1:9" x14ac:dyDescent="0.35">
      <c r="A56" s="13">
        <v>40</v>
      </c>
      <c r="B56" s="21" t="s">
        <v>24</v>
      </c>
      <c r="C56" s="12">
        <v>8</v>
      </c>
      <c r="D56" s="15">
        <f>SUM(C56/G12)*100</f>
        <v>36.363636363636367</v>
      </c>
      <c r="E56" s="16">
        <f>SUM(-C56,G12)</f>
        <v>14</v>
      </c>
      <c r="F56" s="15">
        <f>SUM(E56/G12)*100</f>
        <v>63.636363636363633</v>
      </c>
      <c r="G56" s="17" t="str">
        <f t="shared" si="0"/>
        <v>_</v>
      </c>
      <c r="H56" s="17" t="str">
        <f t="shared" si="1"/>
        <v>/</v>
      </c>
      <c r="I56" s="17" t="str">
        <f t="shared" si="2"/>
        <v>_</v>
      </c>
    </row>
    <row r="57" spans="1:9" x14ac:dyDescent="0.35">
      <c r="A57" s="13">
        <v>41</v>
      </c>
      <c r="B57" s="21" t="s">
        <v>23</v>
      </c>
      <c r="C57" s="12">
        <v>5</v>
      </c>
      <c r="D57" s="15">
        <f>SUM(C57/G12)*100</f>
        <v>22.727272727272727</v>
      </c>
      <c r="E57" s="16">
        <f>SUM(-C57,G12)</f>
        <v>17</v>
      </c>
      <c r="F57" s="15">
        <f>SUM(E57/G12)*100</f>
        <v>77.272727272727266</v>
      </c>
      <c r="G57" s="17" t="str">
        <f t="shared" si="0"/>
        <v>_</v>
      </c>
      <c r="H57" s="17" t="str">
        <f t="shared" si="1"/>
        <v>_</v>
      </c>
      <c r="I57" s="17" t="str">
        <f t="shared" si="2"/>
        <v>/</v>
      </c>
    </row>
    <row r="58" spans="1:9" x14ac:dyDescent="0.35">
      <c r="A58" s="13">
        <v>42</v>
      </c>
      <c r="B58" s="21" t="s">
        <v>22</v>
      </c>
      <c r="C58" s="12">
        <v>10</v>
      </c>
      <c r="D58" s="15">
        <f>SUM(C58/G12)*100</f>
        <v>45.454545454545453</v>
      </c>
      <c r="E58" s="16">
        <f>SUM(-C58,G12)</f>
        <v>12</v>
      </c>
      <c r="F58" s="15">
        <f>SUM(E58/G12)*100</f>
        <v>54.54545454545454</v>
      </c>
      <c r="G58" s="17" t="str">
        <f t="shared" si="0"/>
        <v>_</v>
      </c>
      <c r="H58" s="17" t="str">
        <f t="shared" si="1"/>
        <v>/</v>
      </c>
      <c r="I58" s="17" t="str">
        <f t="shared" si="2"/>
        <v>_</v>
      </c>
    </row>
    <row r="59" spans="1:9" x14ac:dyDescent="0.35">
      <c r="A59" s="13">
        <v>43</v>
      </c>
      <c r="B59" s="21" t="s">
        <v>23</v>
      </c>
      <c r="C59" s="12">
        <v>4</v>
      </c>
      <c r="D59" s="15">
        <f>SUM(C59/G12)*100</f>
        <v>18.181818181818183</v>
      </c>
      <c r="E59" s="16">
        <f>SUM(-C59,G12)</f>
        <v>18</v>
      </c>
      <c r="F59" s="15">
        <f>SUM(E59/G12)*100</f>
        <v>81.818181818181827</v>
      </c>
      <c r="G59" s="17" t="str">
        <f t="shared" si="0"/>
        <v>_</v>
      </c>
      <c r="H59" s="17" t="str">
        <f t="shared" si="1"/>
        <v>_</v>
      </c>
      <c r="I59" s="17" t="str">
        <f t="shared" si="2"/>
        <v>/</v>
      </c>
    </row>
    <row r="60" spans="1:9" x14ac:dyDescent="0.35">
      <c r="A60" s="13">
        <v>44</v>
      </c>
      <c r="B60" s="21" t="s">
        <v>24</v>
      </c>
      <c r="C60" s="12">
        <v>0</v>
      </c>
      <c r="D60" s="15">
        <f>SUM(C60/G12)*100</f>
        <v>0</v>
      </c>
      <c r="E60" s="16">
        <f>SUM(-C60,G12)</f>
        <v>22</v>
      </c>
      <c r="F60" s="15">
        <f>SUM(E60/G12)*100</f>
        <v>100</v>
      </c>
      <c r="G60" s="17" t="str">
        <f t="shared" si="0"/>
        <v>_</v>
      </c>
      <c r="H60" s="17" t="str">
        <f t="shared" si="1"/>
        <v>_</v>
      </c>
      <c r="I60" s="17" t="str">
        <f t="shared" si="2"/>
        <v>/</v>
      </c>
    </row>
    <row r="61" spans="1:9" x14ac:dyDescent="0.35">
      <c r="A61" s="13">
        <v>45</v>
      </c>
      <c r="B61" s="21" t="s">
        <v>22</v>
      </c>
      <c r="C61" s="12">
        <v>1</v>
      </c>
      <c r="D61" s="15">
        <f>SUM(C61/G12)*100</f>
        <v>4.5454545454545459</v>
      </c>
      <c r="E61" s="16">
        <f>SUM(-C61,G12)</f>
        <v>21</v>
      </c>
      <c r="F61" s="15">
        <f>SUM(E61/G12)*100</f>
        <v>95.454545454545453</v>
      </c>
      <c r="G61" s="17" t="str">
        <f t="shared" si="0"/>
        <v>_</v>
      </c>
      <c r="H61" s="17" t="str">
        <f t="shared" si="1"/>
        <v>_</v>
      </c>
      <c r="I61" s="17" t="str">
        <f t="shared" si="2"/>
        <v>/</v>
      </c>
    </row>
    <row r="62" spans="1:9" x14ac:dyDescent="0.35">
      <c r="A62" s="13">
        <v>46</v>
      </c>
      <c r="B62" s="21" t="s">
        <v>23</v>
      </c>
      <c r="C62" s="12">
        <v>0</v>
      </c>
      <c r="D62" s="15">
        <f>SUM(C62/G12)*100</f>
        <v>0</v>
      </c>
      <c r="E62" s="16">
        <f>SUM(-C62,G12)</f>
        <v>22</v>
      </c>
      <c r="F62" s="15">
        <f>SUM(E62/G12)*100</f>
        <v>100</v>
      </c>
      <c r="G62" s="17" t="str">
        <f t="shared" si="0"/>
        <v>_</v>
      </c>
      <c r="H62" s="17" t="str">
        <f t="shared" si="1"/>
        <v>_</v>
      </c>
      <c r="I62" s="17" t="str">
        <f t="shared" si="2"/>
        <v>/</v>
      </c>
    </row>
    <row r="63" spans="1:9" x14ac:dyDescent="0.35">
      <c r="A63" s="13">
        <v>47</v>
      </c>
      <c r="B63" s="21" t="s">
        <v>24</v>
      </c>
      <c r="C63" s="12">
        <v>0</v>
      </c>
      <c r="D63" s="15">
        <f>SUM(C63/G12)*100</f>
        <v>0</v>
      </c>
      <c r="E63" s="16">
        <f>SUM(-C63,G12)</f>
        <v>22</v>
      </c>
      <c r="F63" s="15">
        <f>SUM(E63/G12)*100</f>
        <v>100</v>
      </c>
      <c r="G63" s="17" t="str">
        <f t="shared" si="0"/>
        <v>_</v>
      </c>
      <c r="H63" s="17" t="str">
        <f t="shared" si="1"/>
        <v>_</v>
      </c>
      <c r="I63" s="17" t="str">
        <f t="shared" si="2"/>
        <v>/</v>
      </c>
    </row>
    <row r="64" spans="1:9" x14ac:dyDescent="0.35">
      <c r="A64" s="13">
        <v>48</v>
      </c>
      <c r="B64" s="21" t="s">
        <v>23</v>
      </c>
      <c r="C64" s="12">
        <v>1</v>
      </c>
      <c r="D64" s="15">
        <f>SUM(C64/G12)*100</f>
        <v>4.5454545454545459</v>
      </c>
      <c r="E64" s="16">
        <f>SUM(-C64,G12)</f>
        <v>21</v>
      </c>
      <c r="F64" s="15">
        <f>SUM(E64/G12)*100</f>
        <v>95.454545454545453</v>
      </c>
      <c r="G64" s="17" t="str">
        <f t="shared" si="0"/>
        <v>_</v>
      </c>
      <c r="H64" s="17" t="str">
        <f t="shared" si="1"/>
        <v>_</v>
      </c>
      <c r="I64" s="17" t="str">
        <f t="shared" si="2"/>
        <v>/</v>
      </c>
    </row>
    <row r="65" spans="1:9" x14ac:dyDescent="0.35">
      <c r="A65" s="13">
        <v>49</v>
      </c>
      <c r="B65" s="21" t="s">
        <v>22</v>
      </c>
      <c r="C65" s="12">
        <v>0</v>
      </c>
      <c r="D65" s="15">
        <f>SUM(C65/G12)*100</f>
        <v>0</v>
      </c>
      <c r="E65" s="16">
        <f>SUM(-C65,G12)</f>
        <v>22</v>
      </c>
      <c r="F65" s="15">
        <f>SUM(E65/G12)*100</f>
        <v>100</v>
      </c>
      <c r="G65" s="17" t="str">
        <f t="shared" si="0"/>
        <v>_</v>
      </c>
      <c r="H65" s="17" t="str">
        <f t="shared" si="1"/>
        <v>_</v>
      </c>
      <c r="I65" s="17" t="str">
        <f t="shared" si="2"/>
        <v>/</v>
      </c>
    </row>
    <row r="66" spans="1:9" x14ac:dyDescent="0.35">
      <c r="A66" s="13">
        <v>50</v>
      </c>
      <c r="B66" s="21" t="s">
        <v>22</v>
      </c>
      <c r="C66" s="12">
        <v>0</v>
      </c>
      <c r="D66" s="15">
        <f>SUM(C66/G12)*100</f>
        <v>0</v>
      </c>
      <c r="E66" s="16">
        <f>SUM(-C66,G12)</f>
        <v>22</v>
      </c>
      <c r="F66" s="15">
        <f>SUM(E66/G12)*100</f>
        <v>100</v>
      </c>
      <c r="G66" s="17" t="str">
        <f t="shared" si="0"/>
        <v>_</v>
      </c>
      <c r="H66" s="17" t="str">
        <f t="shared" si="1"/>
        <v>_</v>
      </c>
      <c r="I66" s="17" t="str">
        <f t="shared" si="2"/>
        <v>/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7" t="s">
        <v>13</v>
      </c>
      <c r="E68" s="67"/>
      <c r="F68" s="67"/>
    </row>
    <row r="69" spans="1:9" ht="15.75" customHeight="1" x14ac:dyDescent="0.35">
      <c r="F69" s="32" t="s">
        <v>68</v>
      </c>
      <c r="G69" s="32"/>
      <c r="H69" s="32"/>
    </row>
    <row r="70" spans="1:9" x14ac:dyDescent="0.35">
      <c r="F70" s="34" t="s">
        <v>26</v>
      </c>
      <c r="G70" s="34"/>
      <c r="H70" s="34"/>
    </row>
  </sheetData>
  <mergeCells count="22">
    <mergeCell ref="F70:H70"/>
    <mergeCell ref="A67:B67"/>
    <mergeCell ref="D67:F67"/>
    <mergeCell ref="F69:H69"/>
    <mergeCell ref="A10:I10"/>
    <mergeCell ref="C12:F12"/>
    <mergeCell ref="C13:F13"/>
    <mergeCell ref="A14:A16"/>
    <mergeCell ref="B14:B16"/>
    <mergeCell ref="C14:C16"/>
    <mergeCell ref="D14:D16"/>
    <mergeCell ref="E14:E16"/>
    <mergeCell ref="F14:F16"/>
    <mergeCell ref="G14:I14"/>
    <mergeCell ref="D68:F68"/>
    <mergeCell ref="A9:I9"/>
    <mergeCell ref="A5:I5"/>
    <mergeCell ref="A1:I1"/>
    <mergeCell ref="A2:I2"/>
    <mergeCell ref="A3:I3"/>
    <mergeCell ref="A4:I4"/>
    <mergeCell ref="A6:I6"/>
  </mergeCells>
  <printOptions verticalCentered="1"/>
  <pageMargins left="0.5" right="0.5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 1</vt:lpstr>
      <vt:lpstr>Filipino 1</vt:lpstr>
      <vt:lpstr>Math 1</vt:lpstr>
      <vt:lpstr> ESP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2nchie</dc:creator>
  <cp:lastModifiedBy>Admin</cp:lastModifiedBy>
  <cp:lastPrinted>2025-06-26T07:07:55Z</cp:lastPrinted>
  <dcterms:created xsi:type="dcterms:W3CDTF">2022-10-06T02:04:05Z</dcterms:created>
  <dcterms:modified xsi:type="dcterms:W3CDTF">2025-07-03T03:23:33Z</dcterms:modified>
</cp:coreProperties>
</file>